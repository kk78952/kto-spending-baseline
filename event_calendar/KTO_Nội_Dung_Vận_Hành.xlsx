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519AC5B9-4E7C-4951-BC3A-984BA3FDF6C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2023" sheetId="1" r:id="rId1"/>
    <sheet name="2024" sheetId="2" r:id="rId2"/>
    <sheet name="2025" sheetId="4" r:id="rId3"/>
    <sheet name="2026" sheetId="6" r:id="rId4"/>
    <sheet name="REV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C4" i="6" l="1"/>
  <c r="NB4" i="6"/>
  <c r="NA4" i="6"/>
  <c r="MZ4" i="6"/>
  <c r="MY4" i="6"/>
  <c r="MX4" i="6"/>
  <c r="MW4" i="6"/>
  <c r="MV4" i="6"/>
  <c r="MU4" i="6"/>
  <c r="MT4" i="6"/>
  <c r="MS4" i="6"/>
  <c r="MR4" i="6"/>
  <c r="MQ4" i="6"/>
  <c r="MP4" i="6"/>
  <c r="MO4" i="6"/>
  <c r="MN4" i="6"/>
  <c r="MM4" i="6"/>
  <c r="ML4" i="6"/>
  <c r="MK4" i="6"/>
  <c r="MJ4" i="6"/>
  <c r="MI4" i="6"/>
  <c r="MH4" i="6"/>
  <c r="MG4" i="6"/>
  <c r="MF4" i="6"/>
  <c r="ME4" i="6"/>
  <c r="MD4" i="6"/>
  <c r="MC4" i="6"/>
  <c r="MB4" i="6"/>
  <c r="MA4" i="6"/>
  <c r="LZ4" i="6"/>
  <c r="LY4" i="6"/>
  <c r="LX4" i="6"/>
  <c r="LW4" i="6"/>
  <c r="LV4" i="6"/>
  <c r="LU4" i="6"/>
  <c r="LT4" i="6"/>
  <c r="LS4" i="6"/>
  <c r="LR4" i="6"/>
  <c r="LQ4" i="6"/>
  <c r="LP4" i="6"/>
  <c r="LO4" i="6"/>
  <c r="LN4" i="6"/>
  <c r="LM4" i="6"/>
  <c r="LL4" i="6"/>
  <c r="LK4" i="6"/>
  <c r="LJ4" i="6"/>
  <c r="LI4" i="6"/>
  <c r="LH4" i="6"/>
  <c r="LG4" i="6"/>
  <c r="LF4" i="6"/>
  <c r="LE4" i="6"/>
  <c r="LD4" i="6"/>
  <c r="LC4" i="6"/>
  <c r="LB4" i="6"/>
  <c r="LA4" i="6"/>
  <c r="KZ4" i="6"/>
  <c r="KY4" i="6"/>
  <c r="KX4" i="6"/>
  <c r="KW4" i="6"/>
  <c r="KV4" i="6"/>
  <c r="KU4" i="6"/>
  <c r="KT4" i="6"/>
  <c r="KS4" i="6"/>
  <c r="KR4" i="6"/>
  <c r="KQ4" i="6"/>
  <c r="KP4" i="6"/>
  <c r="KO4" i="6"/>
  <c r="KN4" i="6"/>
  <c r="KM4" i="6"/>
  <c r="KL4" i="6"/>
  <c r="KK4" i="6"/>
  <c r="KJ4" i="6"/>
  <c r="KI4" i="6"/>
  <c r="KH4" i="6"/>
  <c r="KG4" i="6"/>
  <c r="KF4" i="6"/>
  <c r="KE4" i="6"/>
  <c r="KD4" i="6"/>
  <c r="KC4" i="6"/>
  <c r="KB4" i="6"/>
  <c r="KA4" i="6"/>
  <c r="JZ4" i="6"/>
  <c r="JY4" i="6"/>
  <c r="JX4" i="6"/>
  <c r="JW4" i="6"/>
  <c r="JV4" i="6"/>
  <c r="JU4" i="6"/>
  <c r="JT4" i="6"/>
  <c r="JS4" i="6"/>
  <c r="JR4" i="6"/>
  <c r="JQ4" i="6"/>
  <c r="JP4" i="6"/>
  <c r="JO4" i="6"/>
  <c r="JN4" i="6"/>
  <c r="JM4" i="6"/>
  <c r="JL4" i="6"/>
  <c r="JK4" i="6"/>
  <c r="JJ4" i="6"/>
  <c r="JI4" i="6"/>
  <c r="JH4" i="6"/>
  <c r="JG4" i="6"/>
  <c r="JF4" i="6"/>
  <c r="JE4" i="6"/>
  <c r="JD4" i="6"/>
  <c r="JC4" i="6"/>
  <c r="JB4" i="6"/>
  <c r="JA4" i="6"/>
  <c r="IZ4" i="6"/>
  <c r="IY4" i="6"/>
  <c r="IX4" i="6"/>
  <c r="IW4" i="6"/>
  <c r="IV4" i="6"/>
  <c r="IU4" i="6"/>
  <c r="IT4" i="6"/>
  <c r="IS4" i="6"/>
  <c r="IR4" i="6"/>
  <c r="IQ4" i="6"/>
  <c r="IP4" i="6"/>
  <c r="IO4" i="6"/>
  <c r="IN4" i="6"/>
  <c r="IM4" i="6"/>
  <c r="IL4" i="6"/>
  <c r="IK4" i="6"/>
  <c r="IJ4" i="6"/>
  <c r="II4" i="6"/>
  <c r="IH4" i="6"/>
  <c r="IG4" i="6"/>
  <c r="IF4" i="6"/>
  <c r="IE4" i="6"/>
  <c r="ID4" i="6"/>
  <c r="IC4" i="6"/>
  <c r="IB4" i="6"/>
  <c r="IA4" i="6"/>
  <c r="HZ4" i="6"/>
  <c r="HY4" i="6"/>
  <c r="HX4" i="6"/>
  <c r="HW4" i="6"/>
  <c r="HV4" i="6"/>
  <c r="HU4" i="6"/>
  <c r="HT4" i="6"/>
  <c r="HS4" i="6"/>
  <c r="HR4" i="6"/>
  <c r="HQ4" i="6"/>
  <c r="HP4" i="6"/>
  <c r="HO4" i="6"/>
  <c r="HN4" i="6"/>
  <c r="HM4" i="6"/>
  <c r="HL4" i="6"/>
  <c r="HK4" i="6"/>
  <c r="HJ4" i="6"/>
  <c r="HI4" i="6"/>
  <c r="HH4" i="6"/>
  <c r="HG4" i="6"/>
  <c r="HF4" i="6"/>
  <c r="HE4" i="6"/>
  <c r="HD4" i="6"/>
  <c r="HC4" i="6"/>
  <c r="HB4" i="6"/>
  <c r="HA4" i="6"/>
  <c r="GZ4" i="6"/>
  <c r="GY4" i="6"/>
  <c r="GX4" i="6"/>
  <c r="GW4" i="6"/>
  <c r="GV4" i="6"/>
  <c r="GU4" i="6"/>
  <c r="GT4" i="6"/>
  <c r="GS4" i="6"/>
  <c r="GR4" i="6"/>
  <c r="GQ4" i="6"/>
  <c r="GP4" i="6"/>
  <c r="GO4" i="6"/>
  <c r="GN4" i="6"/>
  <c r="GM4" i="6"/>
  <c r="GL4" i="6"/>
  <c r="GK4" i="6"/>
  <c r="GJ4" i="6"/>
  <c r="GI4" i="6"/>
  <c r="GH4" i="6"/>
  <c r="GG4" i="6"/>
  <c r="GF4" i="6"/>
  <c r="GE4" i="6"/>
  <c r="GD4" i="6"/>
  <c r="GC4" i="6"/>
  <c r="GB4" i="6"/>
  <c r="GA4" i="6"/>
  <c r="FZ4" i="6"/>
  <c r="FY4" i="6"/>
  <c r="FX4" i="6"/>
  <c r="FW4" i="6"/>
  <c r="FV4" i="6"/>
  <c r="FU4" i="6"/>
  <c r="FT4" i="6"/>
  <c r="FS4" i="6"/>
  <c r="FR4" i="6"/>
  <c r="FQ4" i="6"/>
  <c r="FP4" i="6"/>
  <c r="FO4" i="6"/>
  <c r="FN4" i="6"/>
  <c r="FM4" i="6"/>
  <c r="FL4" i="6"/>
  <c r="FK4" i="6"/>
  <c r="FJ4" i="6"/>
  <c r="FI4" i="6"/>
  <c r="FH4" i="6"/>
  <c r="FG4" i="6"/>
  <c r="FF4" i="6"/>
  <c r="FE4" i="6"/>
  <c r="FD4" i="6"/>
  <c r="FC4" i="6"/>
  <c r="FB4" i="6"/>
  <c r="FA4" i="6"/>
  <c r="EZ4" i="6"/>
  <c r="EY4" i="6"/>
  <c r="EX4" i="6"/>
  <c r="EW4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I3" i="3"/>
  <c r="BH5" i="3"/>
  <c r="BI5" i="3"/>
  <c r="BK5" i="3"/>
  <c r="BK3" i="3"/>
  <c r="BJ5" i="3"/>
  <c r="BJ3" i="3"/>
  <c r="NB5" i="3"/>
  <c r="NA5" i="3"/>
  <c r="MZ5" i="3"/>
  <c r="MY5" i="3"/>
  <c r="MX5" i="3"/>
  <c r="MW5" i="3"/>
  <c r="MV5" i="3"/>
  <c r="MU5" i="3"/>
  <c r="MT5" i="3"/>
  <c r="MS5" i="3"/>
  <c r="MR5" i="3"/>
  <c r="MQ5" i="3"/>
  <c r="MP5" i="3"/>
  <c r="MO5" i="3"/>
  <c r="MN5" i="3"/>
  <c r="MM5" i="3"/>
  <c r="ML5" i="3"/>
  <c r="MK5" i="3"/>
  <c r="MJ5" i="3"/>
  <c r="MI5" i="3"/>
  <c r="MH5" i="3"/>
  <c r="MG5" i="3"/>
  <c r="MF5" i="3"/>
  <c r="ME5" i="3"/>
  <c r="MD5" i="3"/>
  <c r="MC5" i="3"/>
  <c r="MB5" i="3"/>
  <c r="MA5" i="3"/>
  <c r="LZ5" i="3"/>
  <c r="LY5" i="3"/>
  <c r="LX5" i="3"/>
  <c r="LW5" i="3"/>
  <c r="LV5" i="3"/>
  <c r="LU5" i="3"/>
  <c r="LT5" i="3"/>
  <c r="LS5" i="3"/>
  <c r="LR5" i="3"/>
  <c r="LQ5" i="3"/>
  <c r="LP5" i="3"/>
  <c r="LO5" i="3"/>
  <c r="LN5" i="3"/>
  <c r="LM5" i="3"/>
  <c r="LL5" i="3"/>
  <c r="LK5" i="3"/>
  <c r="LJ5" i="3"/>
  <c r="LI5" i="3"/>
  <c r="LH5" i="3"/>
  <c r="LG5" i="3"/>
  <c r="LF5" i="3"/>
  <c r="LE5" i="3"/>
  <c r="LD5" i="3"/>
  <c r="LC5" i="3"/>
  <c r="LB5" i="3"/>
  <c r="LA5" i="3"/>
  <c r="KZ5" i="3"/>
  <c r="KY5" i="3"/>
  <c r="KX5" i="3"/>
  <c r="KW5" i="3"/>
  <c r="KV5" i="3"/>
  <c r="KU5" i="3"/>
  <c r="KT5" i="3"/>
  <c r="KS5" i="3"/>
  <c r="KR5" i="3"/>
  <c r="KQ5" i="3"/>
  <c r="KP5" i="3"/>
  <c r="KO5" i="3"/>
  <c r="KN5" i="3"/>
  <c r="KM5" i="3"/>
  <c r="KL5" i="3"/>
  <c r="KK5" i="3"/>
  <c r="KJ5" i="3"/>
  <c r="KI5" i="3"/>
  <c r="KH5" i="3"/>
  <c r="KG5" i="3"/>
  <c r="KF5" i="3"/>
  <c r="KE5" i="3"/>
  <c r="KD5" i="3"/>
  <c r="KC5" i="3"/>
  <c r="KB5" i="3"/>
  <c r="KA5" i="3"/>
  <c r="JZ5" i="3"/>
  <c r="JY5" i="3"/>
  <c r="JX5" i="3"/>
  <c r="JW5" i="3"/>
  <c r="JV5" i="3"/>
  <c r="JU5" i="3"/>
  <c r="JT5" i="3"/>
  <c r="JS5" i="3"/>
  <c r="JR5" i="3"/>
  <c r="JQ5" i="3"/>
  <c r="JP5" i="3"/>
  <c r="JO5" i="3"/>
  <c r="JN5" i="3"/>
  <c r="JM5" i="3"/>
  <c r="JL5" i="3"/>
  <c r="JK5" i="3"/>
  <c r="JJ5" i="3"/>
  <c r="JI5" i="3"/>
  <c r="JH5" i="3"/>
  <c r="JG5" i="3"/>
  <c r="JF5" i="3"/>
  <c r="JE5" i="3"/>
  <c r="JD5" i="3"/>
  <c r="JC5" i="3"/>
  <c r="JB5" i="3"/>
  <c r="JA5" i="3"/>
  <c r="IZ5" i="3"/>
  <c r="IY5" i="3"/>
  <c r="IX5" i="3"/>
  <c r="IW5" i="3"/>
  <c r="IV5" i="3"/>
  <c r="IU5" i="3"/>
  <c r="IT5" i="3"/>
  <c r="IS5" i="3"/>
  <c r="IR5" i="3"/>
  <c r="IQ5" i="3"/>
  <c r="IP5" i="3"/>
  <c r="IO5" i="3"/>
  <c r="IN5" i="3"/>
  <c r="IM5" i="3"/>
  <c r="IL5" i="3"/>
  <c r="IK5" i="3"/>
  <c r="IJ5" i="3"/>
  <c r="II5" i="3"/>
  <c r="IH5" i="3"/>
  <c r="IG5" i="3"/>
  <c r="IF5" i="3"/>
  <c r="IE5" i="3"/>
  <c r="ID5" i="3"/>
  <c r="IC5" i="3"/>
  <c r="IB5" i="3"/>
  <c r="IA5" i="3"/>
  <c r="HZ5" i="3"/>
  <c r="HY5" i="3"/>
  <c r="HX5" i="3"/>
  <c r="HW5" i="3"/>
  <c r="HV5" i="3"/>
  <c r="HU5" i="3"/>
  <c r="HT5" i="3"/>
  <c r="HS5" i="3"/>
  <c r="HR5" i="3"/>
  <c r="HQ5" i="3"/>
  <c r="HP5" i="3"/>
  <c r="HO5" i="3"/>
  <c r="HN5" i="3"/>
  <c r="HM5" i="3"/>
  <c r="HL5" i="3"/>
  <c r="HK5" i="3"/>
  <c r="HJ5" i="3"/>
  <c r="HI5" i="3"/>
  <c r="HH5" i="3"/>
  <c r="HG5" i="3"/>
  <c r="HF5" i="3"/>
  <c r="HE5" i="3"/>
  <c r="HD5" i="3"/>
  <c r="HC5" i="3"/>
  <c r="HB5" i="3"/>
  <c r="HA5" i="3"/>
  <c r="GZ5" i="3"/>
  <c r="GY5" i="3"/>
  <c r="GX5" i="3"/>
  <c r="GW5" i="3"/>
  <c r="GV5" i="3"/>
  <c r="GU5" i="3"/>
  <c r="GT5" i="3"/>
  <c r="GS5" i="3"/>
  <c r="GR5" i="3"/>
  <c r="GQ5" i="3"/>
  <c r="GP5" i="3"/>
  <c r="GO5" i="3"/>
  <c r="GN5" i="3"/>
  <c r="GM5" i="3"/>
  <c r="GL5" i="3"/>
  <c r="GK5" i="3"/>
  <c r="GJ5" i="3"/>
  <c r="GI5" i="3"/>
  <c r="GH5" i="3"/>
  <c r="GG5" i="3"/>
  <c r="GF5" i="3"/>
  <c r="GE5" i="3"/>
  <c r="GD5" i="3"/>
  <c r="GC5" i="3"/>
  <c r="GB5" i="3"/>
  <c r="GA5" i="3"/>
  <c r="FZ5" i="3"/>
  <c r="FY5" i="3"/>
  <c r="FX5" i="3"/>
  <c r="FW5" i="3"/>
  <c r="FV5" i="3"/>
  <c r="FU5" i="3"/>
  <c r="FT5" i="3"/>
  <c r="FS5" i="3"/>
  <c r="FR5" i="3"/>
  <c r="FQ5" i="3"/>
  <c r="FP5" i="3"/>
  <c r="FO5" i="3"/>
  <c r="FN5" i="3"/>
  <c r="FM5" i="3"/>
  <c r="FL5" i="3"/>
  <c r="FK5" i="3"/>
  <c r="FJ5" i="3"/>
  <c r="FI5" i="3"/>
  <c r="FH5" i="3"/>
  <c r="FG5" i="3"/>
  <c r="FF5" i="3"/>
  <c r="FE5" i="3"/>
  <c r="FD5" i="3"/>
  <c r="FC5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EN5" i="3"/>
  <c r="EM5" i="3"/>
  <c r="EL5" i="3"/>
  <c r="EK5" i="3"/>
  <c r="EJ5" i="3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B3" i="3"/>
  <c r="A1" i="6"/>
  <c r="A2" i="6"/>
  <c r="A3" i="6" s="1"/>
  <c r="A1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EM4" i="4"/>
  <c r="EN4" i="4"/>
  <c r="EO4" i="4"/>
  <c r="EP4" i="4"/>
  <c r="EQ4" i="4"/>
  <c r="ER4" i="4"/>
  <c r="ES4" i="4"/>
  <c r="ET4" i="4"/>
  <c r="EU4" i="4"/>
  <c r="EV4" i="4"/>
  <c r="EW4" i="4"/>
  <c r="EX4" i="4"/>
  <c r="EY4" i="4"/>
  <c r="EZ4" i="4"/>
  <c r="FA4" i="4"/>
  <c r="FB4" i="4"/>
  <c r="FC4" i="4"/>
  <c r="FD4" i="4"/>
  <c r="FE4" i="4"/>
  <c r="FF4" i="4"/>
  <c r="FG4" i="4"/>
  <c r="FH4" i="4"/>
  <c r="FI4" i="4"/>
  <c r="FJ4" i="4"/>
  <c r="FK4" i="4"/>
  <c r="FL4" i="4"/>
  <c r="FM4" i="4"/>
  <c r="FN4" i="4"/>
  <c r="FO4" i="4"/>
  <c r="FP4" i="4"/>
  <c r="FQ4" i="4"/>
  <c r="FR4" i="4"/>
  <c r="FS4" i="4"/>
  <c r="FT4" i="4"/>
  <c r="FU4" i="4"/>
  <c r="FV4" i="4"/>
  <c r="FW4" i="4"/>
  <c r="FX4" i="4"/>
  <c r="FY4" i="4"/>
  <c r="FZ4" i="4"/>
  <c r="GA4" i="4"/>
  <c r="GB4" i="4"/>
  <c r="GC4" i="4"/>
  <c r="GD4" i="4"/>
  <c r="GE4" i="4"/>
  <c r="GF4" i="4"/>
  <c r="GG4" i="4"/>
  <c r="GH4" i="4"/>
  <c r="GI4" i="4"/>
  <c r="GJ4" i="4"/>
  <c r="GK4" i="4"/>
  <c r="GL4" i="4"/>
  <c r="GM4" i="4"/>
  <c r="GN4" i="4"/>
  <c r="GO4" i="4"/>
  <c r="GP4" i="4"/>
  <c r="GQ4" i="4"/>
  <c r="GR4" i="4"/>
  <c r="GS4" i="4"/>
  <c r="GT4" i="4"/>
  <c r="GU4" i="4"/>
  <c r="GV4" i="4"/>
  <c r="GW4" i="4"/>
  <c r="GX4" i="4"/>
  <c r="GY4" i="4"/>
  <c r="GZ4" i="4"/>
  <c r="HA4" i="4"/>
  <c r="HB4" i="4"/>
  <c r="HC4" i="4"/>
  <c r="HD4" i="4"/>
  <c r="HE4" i="4"/>
  <c r="HF4" i="4"/>
  <c r="HG4" i="4"/>
  <c r="HH4" i="4"/>
  <c r="HI4" i="4"/>
  <c r="HJ4" i="4"/>
  <c r="HK4" i="4"/>
  <c r="HL4" i="4"/>
  <c r="HM4" i="4"/>
  <c r="HN4" i="4"/>
  <c r="HO4" i="4"/>
  <c r="HP4" i="4"/>
  <c r="HQ4" i="4"/>
  <c r="HR4" i="4"/>
  <c r="HS4" i="4"/>
  <c r="HT4" i="4"/>
  <c r="HU4" i="4"/>
  <c r="HV4" i="4"/>
  <c r="HW4" i="4"/>
  <c r="HX4" i="4"/>
  <c r="HY4" i="4"/>
  <c r="HZ4" i="4"/>
  <c r="IA4" i="4"/>
  <c r="IB4" i="4"/>
  <c r="IC4" i="4"/>
  <c r="ID4" i="4"/>
  <c r="IE4" i="4"/>
  <c r="IF4" i="4"/>
  <c r="IG4" i="4"/>
  <c r="IH4" i="4"/>
  <c r="II4" i="4"/>
  <c r="IJ4" i="4"/>
  <c r="IK4" i="4"/>
  <c r="IL4" i="4"/>
  <c r="IM4" i="4"/>
  <c r="IN4" i="4"/>
  <c r="IO4" i="4"/>
  <c r="IP4" i="4"/>
  <c r="IQ4" i="4"/>
  <c r="IR4" i="4"/>
  <c r="IS4" i="4"/>
  <c r="IT4" i="4"/>
  <c r="IU4" i="4"/>
  <c r="IV4" i="4"/>
  <c r="IW4" i="4"/>
  <c r="IX4" i="4"/>
  <c r="IY4" i="4"/>
  <c r="IZ4" i="4"/>
  <c r="JA4" i="4"/>
  <c r="JB4" i="4"/>
  <c r="JC4" i="4"/>
  <c r="JD4" i="4"/>
  <c r="JE4" i="4"/>
  <c r="JF4" i="4"/>
  <c r="JG4" i="4"/>
  <c r="JH4" i="4"/>
  <c r="JI4" i="4"/>
  <c r="JJ4" i="4"/>
  <c r="JK4" i="4"/>
  <c r="JL4" i="4"/>
  <c r="JM4" i="4"/>
  <c r="JN4" i="4"/>
  <c r="JO4" i="4"/>
  <c r="JP4" i="4"/>
  <c r="JQ4" i="4"/>
  <c r="JR4" i="4"/>
  <c r="JS4" i="4"/>
  <c r="JT4" i="4"/>
  <c r="JU4" i="4"/>
  <c r="JV4" i="4"/>
  <c r="JW4" i="4"/>
  <c r="JX4" i="4"/>
  <c r="JY4" i="4"/>
  <c r="JZ4" i="4"/>
  <c r="KA4" i="4"/>
  <c r="KB4" i="4"/>
  <c r="KC4" i="4"/>
  <c r="KD4" i="4"/>
  <c r="KE4" i="4"/>
  <c r="KF4" i="4"/>
  <c r="KG4" i="4"/>
  <c r="KH4" i="4"/>
  <c r="KI4" i="4"/>
  <c r="KJ4" i="4"/>
  <c r="KK4" i="4"/>
  <c r="KL4" i="4"/>
  <c r="KM4" i="4"/>
  <c r="KN4" i="4"/>
  <c r="KO4" i="4"/>
  <c r="KP4" i="4"/>
  <c r="KQ4" i="4"/>
  <c r="KR4" i="4"/>
  <c r="KS4" i="4"/>
  <c r="KT4" i="4"/>
  <c r="KU4" i="4"/>
  <c r="KV4" i="4"/>
  <c r="KW4" i="4"/>
  <c r="KX4" i="4"/>
  <c r="KY4" i="4"/>
  <c r="KZ4" i="4"/>
  <c r="LA4" i="4"/>
  <c r="LB4" i="4"/>
  <c r="LC4" i="4"/>
  <c r="LD4" i="4"/>
  <c r="LE4" i="4"/>
  <c r="LF4" i="4"/>
  <c r="LG4" i="4"/>
  <c r="LH4" i="4"/>
  <c r="LI4" i="4"/>
  <c r="LJ4" i="4"/>
  <c r="LK4" i="4"/>
  <c r="LL4" i="4"/>
  <c r="LM4" i="4"/>
  <c r="LN4" i="4"/>
  <c r="LO4" i="4"/>
  <c r="LP4" i="4"/>
  <c r="LQ4" i="4"/>
  <c r="LR4" i="4"/>
  <c r="LS4" i="4"/>
  <c r="LT4" i="4"/>
  <c r="LU4" i="4"/>
  <c r="LV4" i="4"/>
  <c r="LW4" i="4"/>
  <c r="LX4" i="4"/>
  <c r="LY4" i="4"/>
  <c r="LZ4" i="4"/>
  <c r="MA4" i="4"/>
  <c r="MB4" i="4"/>
  <c r="MC4" i="4"/>
  <c r="MD4" i="4"/>
  <c r="ME4" i="4"/>
  <c r="MF4" i="4"/>
  <c r="MG4" i="4"/>
  <c r="MH4" i="4"/>
  <c r="MI4" i="4"/>
  <c r="MJ4" i="4"/>
  <c r="MK4" i="4"/>
  <c r="ML4" i="4"/>
  <c r="MM4" i="4"/>
  <c r="MN4" i="4"/>
  <c r="MO4" i="4"/>
  <c r="MP4" i="4"/>
  <c r="MQ4" i="4"/>
  <c r="MR4" i="4"/>
  <c r="MS4" i="4"/>
  <c r="MT4" i="4"/>
  <c r="MU4" i="4"/>
  <c r="MV4" i="4"/>
  <c r="MW4" i="4"/>
  <c r="MX4" i="4"/>
  <c r="MY4" i="4"/>
  <c r="MZ4" i="4"/>
  <c r="NA4" i="4"/>
  <c r="NB4" i="4"/>
  <c r="NC4" i="4"/>
  <c r="HI3" i="3"/>
  <c r="FQ3" i="3"/>
  <c r="KA4" i="2"/>
  <c r="KP4" i="2"/>
  <c r="LW3" i="3"/>
  <c r="LV3" i="3"/>
  <c r="LU3" i="3"/>
  <c r="LT3" i="3"/>
  <c r="LS3" i="3"/>
  <c r="LR3" i="3"/>
  <c r="LQ3" i="3"/>
  <c r="LP3" i="3"/>
  <c r="LO3" i="3"/>
  <c r="LN3" i="3"/>
  <c r="LM3" i="3"/>
  <c r="LL3" i="3"/>
  <c r="LK3" i="3"/>
  <c r="LJ3" i="3"/>
  <c r="LI3" i="3"/>
  <c r="LH3" i="3"/>
  <c r="LG3" i="3"/>
  <c r="LF3" i="3"/>
  <c r="LE3" i="3"/>
  <c r="LD3" i="3"/>
  <c r="LC3" i="3"/>
  <c r="LB3" i="3"/>
  <c r="LA3" i="3"/>
  <c r="KZ3" i="3"/>
  <c r="KY3" i="3"/>
  <c r="KX3" i="3"/>
  <c r="KW3" i="3"/>
  <c r="KV3" i="3"/>
  <c r="KU3" i="3"/>
  <c r="KT3" i="3"/>
  <c r="KS3" i="3"/>
  <c r="KR3" i="3"/>
  <c r="KQ3" i="3"/>
  <c r="KP3" i="3"/>
  <c r="KO3" i="3"/>
  <c r="KN3" i="3"/>
  <c r="KM3" i="3"/>
  <c r="KL3" i="3"/>
  <c r="KK3" i="3"/>
  <c r="KJ3" i="3"/>
  <c r="KI3" i="3"/>
  <c r="KH3" i="3"/>
  <c r="KG3" i="3"/>
  <c r="KF3" i="3"/>
  <c r="KE3" i="3"/>
  <c r="KD3" i="3"/>
  <c r="KC3" i="3"/>
  <c r="KB3" i="3"/>
  <c r="KA3" i="3"/>
  <c r="JZ3" i="3"/>
  <c r="JY3" i="3"/>
  <c r="JX3" i="3"/>
  <c r="JW3" i="3"/>
  <c r="JV3" i="3"/>
  <c r="JU3" i="3"/>
  <c r="JT3" i="3"/>
  <c r="JS3" i="3"/>
  <c r="JR3" i="3"/>
  <c r="JQ3" i="3"/>
  <c r="JP3" i="3"/>
  <c r="JO3" i="3"/>
  <c r="JN3" i="3"/>
  <c r="JM3" i="3"/>
  <c r="JL3" i="3"/>
  <c r="JK3" i="3"/>
  <c r="JJ3" i="3"/>
  <c r="JI3" i="3"/>
  <c r="JH3" i="3"/>
  <c r="JG3" i="3"/>
  <c r="JF3" i="3"/>
  <c r="JE3" i="3"/>
  <c r="JD3" i="3"/>
  <c r="JC3" i="3"/>
  <c r="JB3" i="3"/>
  <c r="JA3" i="3"/>
  <c r="IZ3" i="3"/>
  <c r="IY3" i="3"/>
  <c r="IX3" i="3"/>
  <c r="IW3" i="3"/>
  <c r="IV3" i="3"/>
  <c r="IU3" i="3"/>
  <c r="IT3" i="3"/>
  <c r="IS3" i="3"/>
  <c r="IR3" i="3"/>
  <c r="IQ3" i="3"/>
  <c r="IP3" i="3"/>
  <c r="IO3" i="3"/>
  <c r="IN3" i="3"/>
  <c r="IM3" i="3"/>
  <c r="IL3" i="3"/>
  <c r="IK3" i="3"/>
  <c r="IJ3" i="3"/>
  <c r="II3" i="3"/>
  <c r="IH3" i="3"/>
  <c r="IG3" i="3"/>
  <c r="IF3" i="3"/>
  <c r="IE3" i="3"/>
  <c r="ID3" i="3"/>
  <c r="IC3" i="3"/>
  <c r="IB3" i="3"/>
  <c r="IA3" i="3"/>
  <c r="HZ3" i="3"/>
  <c r="HY3" i="3"/>
  <c r="HX3" i="3"/>
  <c r="HW3" i="3"/>
  <c r="HV3" i="3"/>
  <c r="HU3" i="3"/>
  <c r="HT3" i="3"/>
  <c r="HS3" i="3"/>
  <c r="HR3" i="3"/>
  <c r="HQ3" i="3"/>
  <c r="HP3" i="3"/>
  <c r="HO3" i="3"/>
  <c r="HN3" i="3"/>
  <c r="HM3" i="3"/>
  <c r="HL3" i="3"/>
  <c r="HK3" i="3"/>
  <c r="HJ3" i="3"/>
  <c r="HH3" i="3"/>
  <c r="HG3" i="3"/>
  <c r="HF3" i="3"/>
  <c r="HE3" i="3"/>
  <c r="HD3" i="3"/>
  <c r="HC3" i="3"/>
  <c r="HB3" i="3"/>
  <c r="HA3" i="3"/>
  <c r="GZ3" i="3"/>
  <c r="GY3" i="3"/>
  <c r="GX3" i="3"/>
  <c r="GW3" i="3"/>
  <c r="GV3" i="3"/>
  <c r="GU3" i="3"/>
  <c r="GT3" i="3"/>
  <c r="GS3" i="3"/>
  <c r="GR3" i="3"/>
  <c r="GQ3" i="3"/>
  <c r="GP3" i="3"/>
  <c r="GO3" i="3"/>
  <c r="GN3" i="3"/>
  <c r="GM3" i="3"/>
  <c r="GL3" i="3"/>
  <c r="GK3" i="3"/>
  <c r="GJ3" i="3"/>
  <c r="GI3" i="3"/>
  <c r="GH3" i="3"/>
  <c r="GG3" i="3"/>
  <c r="GF3" i="3"/>
  <c r="GE3" i="3"/>
  <c r="GD3" i="3"/>
  <c r="GC3" i="3"/>
  <c r="GB3" i="3"/>
  <c r="GA3" i="3"/>
  <c r="FZ3" i="3"/>
  <c r="FY3" i="3"/>
  <c r="FX3" i="3"/>
  <c r="FW3" i="3"/>
  <c r="FV3" i="3"/>
  <c r="FU3" i="3"/>
  <c r="FT3" i="3"/>
  <c r="FS3" i="3"/>
  <c r="FR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L3" i="3"/>
  <c r="EK3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E3" i="3"/>
  <c r="D3" i="3"/>
  <c r="C3" i="3"/>
  <c r="KL4" i="2"/>
  <c r="JW4" i="2"/>
  <c r="JX4" i="2"/>
  <c r="JY4" i="2"/>
  <c r="JZ4" i="2"/>
  <c r="KB4" i="2"/>
  <c r="KC4" i="2"/>
  <c r="KD4" i="2"/>
  <c r="KE4" i="2"/>
  <c r="KF4" i="2"/>
  <c r="KG4" i="2"/>
  <c r="IG4" i="2"/>
  <c r="HV4" i="2"/>
  <c r="HU4" i="2"/>
  <c r="HW4" i="2"/>
  <c r="HX4" i="2"/>
  <c r="HY4" i="2"/>
  <c r="HZ4" i="2"/>
  <c r="IA4" i="2"/>
  <c r="IB4" i="2"/>
  <c r="ND4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U4" i="2"/>
  <c r="LT4" i="2"/>
  <c r="LS4" i="2"/>
  <c r="LR4" i="2"/>
  <c r="LQ4" i="2"/>
  <c r="LP4" i="2"/>
  <c r="LO4" i="2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A4" i="2"/>
  <c r="KZ4" i="2"/>
  <c r="KY4" i="2"/>
  <c r="KX4" i="2"/>
  <c r="KW4" i="2"/>
  <c r="KV4" i="2"/>
  <c r="KU4" i="2"/>
  <c r="KT4" i="2"/>
  <c r="KS4" i="2"/>
  <c r="KR4" i="2"/>
  <c r="KQ4" i="2"/>
  <c r="KO4" i="2"/>
  <c r="KN4" i="2"/>
  <c r="KM4" i="2"/>
  <c r="KK4" i="2"/>
  <c r="KJ4" i="2"/>
  <c r="KI4" i="2"/>
  <c r="KH4" i="2"/>
  <c r="JV4" i="2"/>
  <c r="JU4" i="2"/>
  <c r="JT4" i="2"/>
  <c r="JS4" i="2"/>
  <c r="JR4" i="2"/>
  <c r="JQ4" i="2"/>
  <c r="JP4" i="2"/>
  <c r="JO4" i="2"/>
  <c r="JN4" i="2"/>
  <c r="JM4" i="2"/>
  <c r="JL4" i="2"/>
  <c r="JK4" i="2"/>
  <c r="JJ4" i="2"/>
  <c r="JI4" i="2"/>
  <c r="JH4" i="2"/>
  <c r="JG4" i="2"/>
  <c r="JF4" i="2"/>
  <c r="JE4" i="2"/>
  <c r="JD4" i="2"/>
  <c r="JC4" i="2"/>
  <c r="JB4" i="2"/>
  <c r="JA4" i="2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M4" i="2"/>
  <c r="IL4" i="2"/>
  <c r="IK4" i="2"/>
  <c r="IJ4" i="2"/>
  <c r="II4" i="2"/>
  <c r="IH4" i="2"/>
  <c r="IF4" i="2"/>
  <c r="IE4" i="2"/>
  <c r="ID4" i="2"/>
  <c r="IC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1" i="2"/>
  <c r="A1" i="1"/>
  <c r="A2" i="4" l="1"/>
  <c r="A3" i="4" s="1"/>
  <c r="A2" i="2"/>
  <c r="A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tc={EE5C999C-02DF-4D1D-8128-D2C610B729FA}</author>
    <author>tc={2865070F-8824-4846-98A4-29181D67EED3}</author>
    <author>tc={29B6C408-1EE7-4F50-BCA5-73A32A5CCF57}</author>
  </authors>
  <commentList>
    <comment ref="HQ2" authorId="0" shapeId="0" xr:uid="{EE5C999C-02DF-4D1D-8128-D2C610B729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Thất Tịch</t>
      </text>
    </comment>
    <comment ref="JC2" authorId="1" shapeId="0" xr:uid="{2865070F-8824-4846-98A4-29181D67E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Trung Thu</t>
      </text>
    </comment>
    <comment ref="KF2" authorId="2" shapeId="0" xr:uid="{29B6C408-1EE7-4F50-BCA5-73A32A5CCF57}">
      <text>
        <t>[Threaded comment]
Your version of Excel allows you to read this threaded comment; however, any edits to it will get removed if the file is opened in a newer version of Excel. Learn more: https://go.microsoft.com/fwlink/?linkid=870924
Comment:
    BU Bạch Đà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tc={74C628F5-7635-4A6C-BC1A-BFCFC12FB417}</author>
    <author>tc={17FC542B-CF56-4FEF-9607-F9BFFC461D57}</author>
    <author>tc={8216E3D7-99E1-4057-8B8A-8EED9905AA7A}</author>
    <author>tc={839B8AF8-A1FF-4EC5-A3C3-D391A1F1B63F}</author>
    <author>tc={BB3D6310-EF75-457C-8470-2C65AA6C080A}</author>
    <author>tc={5CCD508D-AD30-4FCE-8B43-60FEA6CB289C}</author>
  </authors>
  <commentList>
    <comment ref="AB2" authorId="0" shapeId="0" xr:uid="{74C628F5-7635-4A6C-BC1A-BFCFC12FB417}">
      <text>
        <t>[Threaded comment]
Your version of Excel allows you to read this threaded comment; however, any edits to it will get removed if the file is opened in a newer version of Excel. Learn more: https://go.microsoft.com/fwlink/?linkid=870924
Comment:
    KS nghỉ Tết</t>
      </text>
    </comment>
    <comment ref="AK2" authorId="1" shapeId="0" xr:uid="{17FC542B-CF56-4FEF-9607-F9BFFC461D57}">
      <text>
        <t>[Threaded comment]
Your version of Excel allows you to read this threaded comment; however, any edits to it will get removed if the file is opened in a newer version of Excel. Learn more: https://go.microsoft.com/fwlink/?linkid=870924
Comment:
    KS đi làm lại</t>
      </text>
    </comment>
    <comment ref="CJ2" authorId="2" shapeId="0" xr:uid="{8216E3D7-99E1-4057-8B8A-8EED9905AA7A}">
      <text>
        <t>[Threaded comment]
Your version of Excel allows you to read this threaded comment; however, any edits to it will get removed if the file is opened in a newer version of Excel. Learn more: https://go.microsoft.com/fwlink/?linkid=870924
Comment:
    Sinh Nhật 2T</t>
      </text>
    </comment>
    <comment ref="CU2" authorId="3" shapeId="0" xr:uid="{839B8AF8-A1FF-4EC5-A3C3-D391A1F1B63F}">
      <text>
        <t>[Threaded comment]
Your version of Excel allows you to read this threaded comment; however, any edits to it will get removed if the file is opened in a newer version of Excel. Learn more: https://go.microsoft.com/fwlink/?linkid=870924
Comment:
    Giỗ Tổ Hùng Vương</t>
      </text>
    </comment>
    <comment ref="II2" authorId="4" shapeId="0" xr:uid="{BB3D6310-EF75-457C-8470-2C65AA6C08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Thất Tịch</t>
      </text>
    </comment>
    <comment ref="JU2" authorId="5" shapeId="0" xr:uid="{5CCD508D-AD30-4FCE-8B43-60FEA6CB289C}">
      <text>
        <t>[Threaded comment]
Your version of Excel allows you to read this threaded comment; however, any edits to it will get removed if the file is opened in a newer version of Excel. Learn more: https://go.microsoft.com/fwlink/?linkid=870924
Comment:
    Trung Thu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tc={AAEE879D-5540-4B3B-8177-5208943064FD}</author>
    <author>tc={4D2CE7C7-BCDF-42EB-A910-5CF27496C981}</author>
    <author>tc={4E96BA99-F4E8-4638-BB1D-464E482EE7AC}</author>
    <author>tc={7C3EA843-8CB8-407A-A41A-9BAFB197B39A}</author>
    <author>tc={6CA349FE-E658-481C-9D90-58120305CDF1}</author>
    <author>tc={122A8181-CA80-46B6-A8BC-FFD46465D1FD}</author>
    <author>tc={52C925D7-D645-43BE-9A9A-A49317A00CA0}</author>
  </authors>
  <commentList>
    <comment ref="AX2" authorId="0" shapeId="0" xr:uid="{AAEE879D-5540-4B3B-8177-5208943064FD}">
      <text>
        <t>[Threaded comment]
Your version of Excel allows you to read this threaded comment; however, any edits to it will get removed if the file is opened in a newer version of Excel. Learn more: https://go.microsoft.com/fwlink/?linkid=870924
Comment:
    Mùng 1 Tết</t>
      </text>
    </comment>
    <comment ref="CJ2" authorId="1" shapeId="0" xr:uid="{4D2CE7C7-BCDF-42EB-A910-5CF27496C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Sinh Nhật 3T</t>
      </text>
    </comment>
    <comment ref="DN2" authorId="2" shapeId="0" xr:uid="{4E96BA99-F4E8-4638-BB1D-464E482EE7AC}">
      <text>
        <t>[Threaded comment]
Your version of Excel allows you to read this threaded comment; however, any edits to it will get removed if the file is opened in a newer version of Excel. Learn more: https://go.microsoft.com/fwlink/?linkid=870924
Comment:
    Giỗ Tổ</t>
      </text>
    </comment>
    <comment ref="FP2" authorId="3" shapeId="0" xr:uid="{7C3EA843-8CB8-407A-A41A-9BAFB197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Đoan Ngọ</t>
      </text>
    </comment>
    <comment ref="II2" authorId="4" shapeId="0" xr:uid="{6CA349FE-E658-481C-9D90-58120305CDF1}">
      <text>
        <t>[Threaded comment]
Your version of Excel allows you to read this threaded comment; however, any edits to it will get removed if the file is opened in a newer version of Excel. Learn more: https://go.microsoft.com/fwlink/?linkid=870924
Comment:
    Thất Tịch</t>
      </text>
    </comment>
    <comment ref="JU2" authorId="5" shapeId="0" xr:uid="{122A8181-CA80-46B6-A8BC-FFD46465D1FD}">
      <text>
        <t>[Threaded comment]
Your version of Excel allows you to read this threaded comment; however, any edits to it will get removed if the file is opened in a newer version of Excel. Learn more: https://go.microsoft.com/fwlink/?linkid=870924
Comment:
    Trung Thu</t>
      </text>
    </comment>
    <comment ref="LR2" authorId="6" shapeId="0" xr:uid="{52C925D7-D645-43BE-9A9A-A49317A00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Văn Hóa VN</t>
      </text>
    </comment>
  </commentList>
</comments>
</file>

<file path=xl/sharedStrings.xml><?xml version="1.0" encoding="utf-8"?>
<sst xmlns="http://schemas.openxmlformats.org/spreadsheetml/2006/main" count="995" uniqueCount="564">
  <si>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</si>
  <si>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</si>
  <si>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</si>
  <si>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</si>
  <si>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</si>
  <si>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</si>
  <si>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</si>
  <si>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</si>
  <si>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</si>
  <si>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</si>
  <si>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T1/2024</t>
  </si>
  <si>
    <t>CN</t>
  </si>
  <si>
    <t>Plan vận hành</t>
  </si>
  <si>
    <t>Quà Mừng Lễ</t>
  </si>
  <si>
    <t>Mâm Cổ Tiến Vua</t>
  </si>
  <si>
    <t xml:space="preserve">Lễ Hội Pháo Hoa
</t>
  </si>
  <si>
    <t>Gói Nạp Quà Ngày Hè</t>
  </si>
  <si>
    <t>Quà Đoan Ngọ</t>
  </si>
  <si>
    <t>Hè Sôi Động (Câu Cá + Đấu Giá Năng Động)</t>
  </si>
  <si>
    <t>Thiên Hạ Đệ Nhất Độc</t>
  </si>
  <si>
    <t>Giảm Giá Nhận Lại</t>
  </si>
  <si>
    <t>ok</t>
  </si>
  <si>
    <t>TNTB</t>
  </si>
  <si>
    <t>Ưu Đãi Chiêu Mộ Đồng Hành</t>
  </si>
  <si>
    <t>Cổ Mộ Mê Tình</t>
  </si>
  <si>
    <t>Nạp Hoàn Trả</t>
  </si>
  <si>
    <t>Event Tết Nguyên Đán</t>
  </si>
  <si>
    <t>Pháo Hoa Mừng Lễ</t>
  </si>
  <si>
    <t>Lao Động Là Vinh Quang</t>
  </si>
  <si>
    <t xml:space="preserve">
Nga Mi Cố Sự</t>
  </si>
  <si>
    <t>Tết Thiếu Nhi</t>
  </si>
  <si>
    <t>Đua Thuyền Rồng</t>
  </si>
  <si>
    <t>Quốc Khánh Năng Động</t>
  </si>
  <si>
    <t>Quà Thu Nguyệt</t>
  </si>
  <si>
    <t>Đua Top Bang Hội Kỳ Tài Lần II</t>
  </si>
  <si>
    <t>Quà Năm Mới</t>
  </si>
  <si>
    <t>Phúc Lộc Tề Thiên</t>
  </si>
  <si>
    <t>Pháo Hoa May Mắn</t>
  </si>
  <si>
    <t>Quà Tặng Đoàn Kết</t>
  </si>
  <si>
    <t>Kết Nghĩa Đào Viên</t>
  </si>
  <si>
    <t>Gói Nạp Quà Hoa Hạ</t>
  </si>
  <si>
    <t>Gói Nạp Quà Miêu Lĩnh</t>
  </si>
  <si>
    <t>Ưu Đãi Kỳ Trân Các</t>
  </si>
  <si>
    <t>Giang Sơn Như Họa</t>
  </si>
  <si>
    <t>Hoạt động Trung Thu</t>
  </si>
  <si>
    <t>Ưu Đãi Tết Trùng Thập</t>
  </si>
  <si>
    <t>Quà Sơ Đông</t>
  </si>
  <si>
    <t>Ưu đãi 12-12</t>
  </si>
  <si>
    <t>Tết Lạp Bát</t>
  </si>
  <si>
    <t>Bảo Thố Chúc Phúc</t>
  </si>
  <si>
    <t>Gói Quà Mừng Lễ</t>
  </si>
  <si>
    <t>Tích Lũy Nạp Thẻ</t>
  </si>
  <si>
    <t>Rương Thiên Giáng Hồng Phúc</t>
  </si>
  <si>
    <t>Hoạt động Phụ Nữ Việt Nam</t>
  </si>
  <si>
    <t>Điểm Danh Ngày Lễ</t>
  </si>
  <si>
    <t>Chuỗi event giáng sinh</t>
  </si>
  <si>
    <t>Quà Tân Xuân</t>
  </si>
  <si>
    <t>Hoàng Kim Tài Phú</t>
  </si>
  <si>
    <t>Ưu đãi Kỳ Trân Các</t>
  </si>
  <si>
    <t>Rương Phúc Mãn Nhân Gian</t>
  </si>
  <si>
    <t>Báo Danh</t>
  </si>
  <si>
    <t>Vòng Sơ Tuyển</t>
  </si>
  <si>
    <t>Đấu Loại</t>
  </si>
  <si>
    <t>Tranh top 8/4</t>
  </si>
  <si>
    <t>Tính năng Người Cũ Trở Về</t>
  </si>
  <si>
    <t>Đồng Tâm Kỳ Duyên</t>
  </si>
  <si>
    <t>Dự Báo VL102</t>
  </si>
  <si>
    <t>Vòng Sơ Tuyển VL102</t>
  </si>
  <si>
    <t>Tổng kết Sơ Tuyển</t>
  </si>
  <si>
    <t>Vòng Bán Kết Toàn máy chủ VL102</t>
  </si>
  <si>
    <t>Tổng kết Bán Kết</t>
  </si>
  <si>
    <t>Vòng Chung Kết Liên Game VL102</t>
  </si>
  <si>
    <t>Tổng kết Chung Kết</t>
  </si>
  <si>
    <t>Reset X2 Nguyên Bảo</t>
  </si>
  <si>
    <t>Vòng Tuyển chọn BHTĐC</t>
  </si>
  <si>
    <t>Vòng Tranh Đoạt BHTĐC</t>
  </si>
  <si>
    <t>Cổ Vũ Chung Kết</t>
  </si>
  <si>
    <t>Rương Phúc Tinh Cao Chiếu</t>
  </si>
  <si>
    <t>Ưu đãi Thiệp Chiêu Mộ ĐH</t>
  </si>
  <si>
    <t>Môn Phái Mới - Nga Mi</t>
  </si>
  <si>
    <t>Tần Thủy Hoàng Lăng</t>
  </si>
  <si>
    <t>Bán kết</t>
  </si>
  <si>
    <t>Vòng Chung Kết BHTĐC</t>
  </si>
  <si>
    <t>Di Tích Hàn Vũ (Chưa Mở)</t>
  </si>
  <si>
    <t>Di Tích Hàn Vũ (Mở Thử Nghiệm)</t>
  </si>
  <si>
    <t>Chung kết Cụm Hào Kiệt</t>
  </si>
  <si>
    <t>Tống Kim-Tháng</t>
  </si>
  <si>
    <t>Ưu Đãi Black Friday</t>
  </si>
  <si>
    <t>Tiêu Dao Lục</t>
  </si>
  <si>
    <t>Chung kết Cụm Vô Song</t>
  </si>
  <si>
    <t>Hệ thống Kết Bái</t>
  </si>
  <si>
    <t>GIẢI ĐẤU VÔ SONG HÀO KIỆT</t>
  </si>
  <si>
    <t>Mở cấp 7x</t>
  </si>
  <si>
    <t>Chung kết</t>
  </si>
  <si>
    <t>Technical</t>
  </si>
  <si>
    <t>Merge sv</t>
  </si>
  <si>
    <t>Test API</t>
  </si>
  <si>
    <t>Xóa role</t>
  </si>
  <si>
    <t>Trao đổi vấn đề tái đấu vòng tranh đoạt</t>
  </si>
  <si>
    <t>Data</t>
  </si>
  <si>
    <t>Thời lượng HĐ BOSS</t>
  </si>
  <si>
    <t>Võ luyện</t>
  </si>
  <si>
    <t>Thu hồi chìa</t>
  </si>
  <si>
    <t>Data SV</t>
  </si>
  <si>
    <t>Data Server</t>
  </si>
  <si>
    <t>BXH TPT</t>
  </si>
  <si>
    <t>Event tháng (team DATA)</t>
  </si>
  <si>
    <t>Tồn chìa tinh lực</t>
  </si>
  <si>
    <t>Monthly Report</t>
  </si>
  <si>
    <t>MKT</t>
  </si>
  <si>
    <t>Thể lệ Giải Đấu BHTĐC</t>
  </si>
  <si>
    <t>Test nhập code (trước 12/12)</t>
  </si>
  <si>
    <t>DS VIP</t>
  </si>
  <si>
    <t>Gen Code</t>
  </si>
  <si>
    <t>Thưởng giải đấu BHTĐC</t>
  </si>
  <si>
    <t>Other</t>
  </si>
  <si>
    <t>Rev forecast_VN</t>
  </si>
  <si>
    <t>Họp với KS</t>
  </si>
  <si>
    <t>Thưởng BHKT</t>
  </si>
  <si>
    <t>Checklist giải đấu BHTĐC</t>
  </si>
  <si>
    <t>Đánh giá PP</t>
  </si>
  <si>
    <t>Event tháng 1</t>
  </si>
  <si>
    <t>Plan BU Bá Đao</t>
  </si>
  <si>
    <t>Phương thức vòng quay Tết</t>
  </si>
  <si>
    <t>Thông tin PBM</t>
  </si>
  <si>
    <t>Event vận hành T2</t>
  </si>
  <si>
    <t>File họp gửi KS</t>
  </si>
  <si>
    <t>Req API khấu trừ item (mục đích Vòng Quay)</t>
  </si>
  <si>
    <t>Bổ sung thêm đá cho quà mỗi ngày</t>
  </si>
  <si>
    <t>API cho KS</t>
  </si>
  <si>
    <t>Lôi Đài LSV</t>
  </si>
  <si>
    <t>File họp KS</t>
  </si>
  <si>
    <t>Thưởng chi tiết Vòng Quay Tết</t>
  </si>
  <si>
    <t>MM KS&amp;VNG</t>
  </si>
  <si>
    <t>Test Vòng Quay</t>
  </si>
  <si>
    <t>Đánh giá merge</t>
  </si>
  <si>
    <t>Giải đấu all star</t>
  </si>
  <si>
    <t>Gói Quà Năm Mới</t>
  </si>
  <si>
    <t>Thưởng chi tiết Gói Xuân Mới</t>
  </si>
  <si>
    <t>Test trục 129</t>
  </si>
  <si>
    <t>Checklist BU Bá Đao</t>
  </si>
  <si>
    <t>Request vòng quay Tết</t>
  </si>
  <si>
    <t>BXH giải đấu</t>
  </si>
  <si>
    <t>Giảm giá Phi Phong</t>
  </si>
  <si>
    <t>Bổ sung tài nguyên nạp hoàn trả</t>
  </si>
  <si>
    <t>Điều chỉnh thưởng Vòng Quay</t>
  </si>
  <si>
    <t>ĐỊNH KỲ</t>
  </si>
  <si>
    <t>NGÀY 25/THÁNG</t>
  </si>
  <si>
    <t>1. Xuất data server</t>
  </si>
  <si>
    <t>- 1 sheet là top 50 tài phú của server. 1 sheet là top 10 tài phú bang hội của server</t>
  </si>
  <si>
    <t>- phần PU k lấy trung bình nữa, mà lấy total PU tương ứng với ngày lấy total rev</t>
  </si>
  <si>
    <t>2. Plan event hàng tháng</t>
  </si>
  <si>
    <t>MỖI THÁNG</t>
  </si>
  <si>
    <t>Event social TK LSV/TĐMP LSV</t>
  </si>
  <si>
    <t>Event Bang Hội Kỳ Tài</t>
  </si>
  <si>
    <t>REV</t>
  </si>
  <si>
    <t>T2/2024</t>
  </si>
  <si>
    <t>T3/2024</t>
  </si>
  <si>
    <t>T4/2024</t>
  </si>
  <si>
    <t>T5/2024</t>
  </si>
  <si>
    <t>T6/2024</t>
  </si>
  <si>
    <t>T7/2024</t>
  </si>
  <si>
    <t>T8/2024</t>
  </si>
  <si>
    <t>T9/2024</t>
  </si>
  <si>
    <t>T10/2024</t>
  </si>
  <si>
    <t>T11/2024</t>
  </si>
  <si>
    <t>T12/2024</t>
  </si>
  <si>
    <t>REV(M)</t>
  </si>
  <si>
    <t>Vượt Vũ Môn (H5)</t>
  </si>
  <si>
    <t>Dương Đao Đại Hội</t>
  </si>
  <si>
    <t>Event Giỗ Tổ</t>
  </si>
  <si>
    <t>Trợ Uy Vô Song</t>
  </si>
  <si>
    <t>Số Tay Tuổi Thơ</t>
  </si>
  <si>
    <t>Quà Mùa Hè (1.72B, 2k5 PU)</t>
  </si>
  <si>
    <t>TNTB (0.93B, 1k4 PU)</t>
  </si>
  <si>
    <t>Event Câu Cá (950M, PU 2k7 PU)</t>
  </si>
  <si>
    <t>TNTB (0.98B, 1k4 PU)</t>
  </si>
  <si>
    <t>Ưu Đãi Thất Tịch (1.3B, 5.1K PU)</t>
  </si>
  <si>
    <t>Quà Thu Nguyệt (2.1B, 2.7K PU)</t>
  </si>
  <si>
    <t>Thần Thạch Bí Ẩn (2.6B, 4.3K PU) (68tr NB, 17K role)</t>
  </si>
  <si>
    <t>TNTB (1.3B, 1.3K PU)</t>
  </si>
  <si>
    <t>Ưu Đãi 11-11</t>
  </si>
  <si>
    <t>Quà Tôn Sư (1.7B, 2.4K PU)</t>
  </si>
  <si>
    <t>sơ tuyển (1.7B, 3.6K PU)</t>
  </si>
  <si>
    <t>Đấu thử</t>
  </si>
  <si>
    <t>Top32</t>
  </si>
  <si>
    <t>Top16</t>
  </si>
  <si>
    <t>Top8</t>
  </si>
  <si>
    <t>Tứ Kết</t>
  </si>
  <si>
    <t>Bán Kết</t>
  </si>
  <si>
    <t>Quà Tân Niên (2B, 3.6K PU)</t>
  </si>
  <si>
    <t>Promotion Tết</t>
  </si>
  <si>
    <t>Rương Phúc Lộc Tề Thiên</t>
  </si>
  <si>
    <t>Tài Vận Hanh Thông</t>
  </si>
  <si>
    <t>Đố Đèn</t>
  </si>
  <si>
    <t xml:space="preserve">Tái Xuất Giang Hồ </t>
  </si>
  <si>
    <t>Vòng quay sinh nhật (5.4B, 2.9K PU)</t>
  </si>
  <si>
    <t>Ưu đãi Mừng Lễ</t>
  </si>
  <si>
    <t>Công Viên Giải Trí (2B) (3.7K PU)</t>
  </si>
  <si>
    <t>Càn Quét Mùa Hè (2tr4 KL, 78tr3 NB) (600M)</t>
  </si>
  <si>
    <t>Vui Cùng Euro (2.6B, 2.4K PU)</t>
  </si>
  <si>
    <t>Rương Trân Bảo Ngày Hạ (1.8B, 4k2 PU)</t>
  </si>
  <si>
    <t>Thất Tịch (Tầm Duyên) (2.3B, 1k1 PU) (90tr NB, 21.5K role)</t>
  </si>
  <si>
    <t>Vòng Quay Đại Lễ (2.8B,  3.4K PU)</t>
  </si>
  <si>
    <t>TNTB (1.2B, 1.3K PU)</t>
  </si>
  <si>
    <t>Tầm Duyên (2.5B, 2.6K PU) (91tr NB, 21.3K role)</t>
  </si>
  <si>
    <t>西毒现世-Bạch Đà Hiện Thế (1.6B, 2k PU)</t>
  </si>
  <si>
    <t>Tầm Duyên (2.56B, 2.6K PU)</t>
  </si>
  <si>
    <t>Ưu Đãi 12-12</t>
  </si>
  <si>
    <t>Chung Kết</t>
  </si>
  <si>
    <t>Tân Xuân Chung Vui</t>
  </si>
  <si>
    <t>Mỹ Vị NT</t>
  </si>
  <si>
    <t>Lễ Hội Pháo Hoa</t>
  </si>
  <si>
    <t>Event sinh nhật</t>
  </si>
  <si>
    <t>Rương Phú Quý Cát Tường (708M, 2K PU)</t>
  </si>
  <si>
    <t>Quà Mùa Hạ</t>
  </si>
  <si>
    <t>Thổi Bong Bóng</t>
  </si>
  <si>
    <t>逍遥自在_Tiêu Diêu Tự Tại (2.6B, 6.7K PU)</t>
  </si>
  <si>
    <t>Quà Hạ Vũ (1.73B, 2k7 PU)</t>
  </si>
  <si>
    <t>Quà Thất Tịch (2.5B, 3.1K PU)</t>
  </si>
  <si>
    <t>Ghi Danh và Thông Báo Giải Đấu Nhất Kiếm Kinh Thiên</t>
  </si>
  <si>
    <t>Rương Nhất Kiếm Quang Vinh (1.7B, 5.2K PU)</t>
  </si>
  <si>
    <t>TNTB (1.5B, 1.4K PU)</t>
  </si>
  <si>
    <t>奇珍阁特惠-Ưu Đãi KTC (1.7B, 5k PU) (218tr NB)</t>
  </si>
  <si>
    <t>Rương Tường Vân Đại Cát (2.35B, 5.1k PU)</t>
  </si>
  <si>
    <t>Ưu Đãi 01-01</t>
  </si>
  <si>
    <t>Khởi Niên Tầm Duyên</t>
  </si>
  <si>
    <t>Lì Xì Phúc Vận</t>
  </si>
  <si>
    <t>Tiệc NT</t>
  </si>
  <si>
    <t>Rương Phúc Đại Viên Mãn</t>
  </si>
  <si>
    <t>庆典转盘_Vòng Quay Mừng Lễ</t>
  </si>
  <si>
    <t>Tầm Duyên Mùa Hạ (1.1B)</t>
  </si>
  <si>
    <t>奇珍阁特惠_Ưu đãi Kỳ Trân Các (1.6B, 4k6 PU) (170tr NB)</t>
  </si>
  <si>
    <t>Thiên Y Các (400M, 1k1PU)</t>
  </si>
  <si>
    <t>Thần Tài Phát Lộc</t>
  </si>
  <si>
    <t>Vòng Quay Webshop</t>
  </si>
  <si>
    <t>Nhất Kiếm Chiêu Anh (700tr, 2.4k PU)</t>
  </si>
  <si>
    <t>Vòng Loại</t>
  </si>
  <si>
    <t>Dự Đoán</t>
  </si>
  <si>
    <t xml:space="preserve">再闯江湖-Tái Xuất Giang Hồ </t>
  </si>
  <si>
    <t>Bức Họa Sư Đồ</t>
  </si>
  <si>
    <t>Black Friday (743M, 2.8K PU)</t>
  </si>
  <si>
    <t>Thần Thạch Bí Ẩn (2.3B, 3.9K PU)</t>
  </si>
  <si>
    <t>Rương Ất Tỵ Phú Quý (1.6B, 4.2K PU)</t>
  </si>
  <si>
    <t>Quà Khai Xuân</t>
  </si>
  <si>
    <t>Ưu Đãi Nhận Lại</t>
  </si>
  <si>
    <t>劳动节活动系列_Chuỗi event Lễ Lao Động</t>
  </si>
  <si>
    <t>Giải đấu Vô Song Hào Kiệt</t>
  </si>
  <si>
    <t>Quà Đoan Ngọ (1.3B) (3.1K PU)</t>
  </si>
  <si>
    <t xml:space="preserve">再闯江湖Tái Xuất Giang Hồ </t>
  </si>
  <si>
    <t>Thất Tịch-Vì Yêu</t>
  </si>
  <si>
    <t>Top 32</t>
  </si>
  <si>
    <t>Top 8</t>
  </si>
  <si>
    <t>首充双倍-Reset x2 nạp đầu</t>
  </si>
  <si>
    <t>Tri Ân Sư Đồ (1.6B, 4.2K PU)</t>
  </si>
  <si>
    <t>TNTB (1.2B. 1.3K PU)</t>
  </si>
  <si>
    <t>Dạ Lan Quan</t>
  </si>
  <si>
    <t>Tiệc Tất Niên</t>
  </si>
  <si>
    <t>Quà Tặng Phiên Bản</t>
  </si>
  <si>
    <t>Búp Bê Hoài Cổ</t>
  </si>
  <si>
    <t>重置首次充值双_Reset X2 Nguyên Bảo</t>
  </si>
  <si>
    <t>Thất Tịch-Ưu Đãi Giới Hạn</t>
  </si>
  <si>
    <t>Top 16</t>
  </si>
  <si>
    <t>资料片礼物-Quà Mừng PBM</t>
  </si>
  <si>
    <t>Quà Sư Đồ (2B, 4K PU)</t>
  </si>
  <si>
    <t>Tuyết Ngày Đông</t>
  </si>
  <si>
    <t>Niên Thú</t>
  </si>
  <si>
    <t>Tâm Đầu Ý Hợp (Valentine)</t>
  </si>
  <si>
    <t>Quà Du Xuân</t>
  </si>
  <si>
    <t>Quà Đầu Hạ</t>
  </si>
  <si>
    <t>Sơ Tuyển</t>
  </si>
  <si>
    <t>Kẻ Trộm Thanh Xuân</t>
  </si>
  <si>
    <t>资料片礼物_Quà Tặng Phiên Bản</t>
  </si>
  <si>
    <t>Giang Sơn Như Họa (1.1B, 4k PU)</t>
  </si>
  <si>
    <t>Quà Tặng Thân Tình (1.3B, 3.2K PU)</t>
  </si>
  <si>
    <r>
      <rPr>
        <b/>
        <sz val="11"/>
        <color rgb="FFFF0000"/>
        <rFont val="Calibri"/>
        <scheme val="minor"/>
      </rPr>
      <t>烟花庆典-Pháo Hoa M</t>
    </r>
    <r>
      <rPr>
        <b/>
        <sz val="11"/>
        <color rgb="FFFF0000"/>
        <rFont val="Times New Roman"/>
      </rPr>
      <t>ừ</t>
    </r>
    <r>
      <rPr>
        <b/>
        <sz val="11"/>
        <color rgb="FFFF0000"/>
        <rFont val="宋体"/>
      </rPr>
      <t>ng L</t>
    </r>
    <r>
      <rPr>
        <b/>
        <sz val="11"/>
        <color rgb="FFFF0000"/>
        <rFont val="Times New Roman"/>
      </rPr>
      <t>ễ</t>
    </r>
  </si>
  <si>
    <t>Đại Chiến Bãi Biển</t>
  </si>
  <si>
    <t>Trang Trí Giáng Sinh (1.8B, 4.8K PU)</t>
  </si>
  <si>
    <t>Đếm ngược Tân Xuân</t>
  </si>
  <si>
    <t>Ưu đãi (Valentine)</t>
  </si>
  <si>
    <t xml:space="preserve"> Đấu Loại</t>
  </si>
  <si>
    <t>Đoan Ngọ Gói Bánh (1.6B)</t>
  </si>
  <si>
    <t>烟花庆典-Pháo Hoa Mừng Lễ</t>
  </si>
  <si>
    <t>Thần Thạch Huyền Bí (1.9B, 11k PU)</t>
  </si>
  <si>
    <t>Tiệc Đoàn Viên</t>
  </si>
  <si>
    <t>Quà Sơ Đông (2B, 2.7k PU)</t>
  </si>
  <si>
    <t>Bằng Hữu Hiệp Lực (Promotion mời bạn)</t>
  </si>
  <si>
    <t>Hộp Quà Giáng Sinh (1.8B, 3.5K PU)</t>
  </si>
  <si>
    <t>Hoạt Động Cuối Tuần</t>
  </si>
  <si>
    <t>Bá Đao</t>
  </si>
  <si>
    <t>Ưu đãi 8-3</t>
  </si>
  <si>
    <t>Giảm giá nhận lại</t>
  </si>
  <si>
    <t>Hộp Quà Trung Thu (2.5B, 2.7K PU)</t>
  </si>
  <si>
    <t>Bang Hội Kỳ Tài</t>
  </si>
  <si>
    <t>Promotion Vòng Quay Săn Quà Bí Ngô (2.8B, 3.2k PU)</t>
  </si>
  <si>
    <t>Update phúc lợi mỗi ngày (thẻ tuần/tháng, online, điểm danh, rương HK)</t>
  </si>
  <si>
    <t>Kinh mạch</t>
  </si>
  <si>
    <t>Top 4</t>
  </si>
  <si>
    <t>Thỏ Ngọc Ủ Rượu</t>
  </si>
  <si>
    <t>Thiên Y Các</t>
  </si>
  <si>
    <t>Tăng exp cơ bản từ pb/hđ</t>
  </si>
  <si>
    <t>Thiên Tầng Tháp</t>
  </si>
  <si>
    <t>Vòng Loại Euro 2024</t>
  </si>
  <si>
    <t>Top 8 EU</t>
  </si>
  <si>
    <t>Tứ Kết EU</t>
  </si>
  <si>
    <t>Ưu đãi cuối tuần</t>
  </si>
  <si>
    <t>Phái Bạch Đà</t>
  </si>
  <si>
    <t>Bổ sung nguồn ra free đột phá kỹ năng từ trục lv169</t>
  </si>
  <si>
    <t>Map LSV KTH</t>
  </si>
  <si>
    <t>Ticket API vòng quay mừng lễ</t>
  </si>
  <si>
    <t>Điều chỉnh zonemapping</t>
  </si>
  <si>
    <t>Kỹ Năng Thú Cưỡi</t>
  </si>
  <si>
    <t>Vận Tiêu KTH</t>
  </si>
  <si>
    <t>Lâu Lan Mê Tung</t>
  </si>
  <si>
    <t>Song Vực Tranh Phong</t>
  </si>
  <si>
    <t>Dánh sách merge</t>
  </si>
  <si>
    <t>Check phân loại gói nạp</t>
  </si>
  <si>
    <t>Data merge</t>
  </si>
  <si>
    <t>Xếp Hạng Võ Hàm</t>
  </si>
  <si>
    <t>Check phân loại item - TA</t>
  </si>
  <si>
    <t>Cân bằng hệ phái</t>
  </si>
  <si>
    <t>Storekit</t>
  </si>
  <si>
    <t>Vô Song Hào Kiệt</t>
  </si>
  <si>
    <t>Đánh giá Tái Xuất Giang Hồ</t>
  </si>
  <si>
    <t>Nội dung Ưu đãi Mừng Lễ - TA</t>
  </si>
  <si>
    <t>Plan T5 (full)</t>
  </si>
  <si>
    <t>Plan BU T6</t>
  </si>
  <si>
    <t>Giải đấu đồng lực chiến</t>
  </si>
  <si>
    <t>Giải đấu Việt-Trung</t>
  </si>
  <si>
    <t>Store kit</t>
  </si>
  <si>
    <t>RP hiệu quả các giải đấu trước đây</t>
  </si>
  <si>
    <t>Submit</t>
  </si>
  <si>
    <t>Plan nửa đầu T5</t>
  </si>
  <si>
    <t>Code T5</t>
  </si>
  <si>
    <t>Bảng đấu 16 đội</t>
  </si>
  <si>
    <t>Cụ thể Plan 2024</t>
  </si>
  <si>
    <t>Thưởng sân chơi social</t>
  </si>
  <si>
    <t>RP Vượt Vũ Môn</t>
  </si>
  <si>
    <t>Đánh giá mở dòng 2 Kinh Mạch</t>
  </si>
  <si>
    <t>Test TW</t>
  </si>
  <si>
    <t>Vòng quay sinh nhật</t>
  </si>
  <si>
    <t>Req Promotion Vòng Quay Mừng Lễ</t>
  </si>
  <si>
    <t>FB điều chỉnh kỹ năng</t>
  </si>
  <si>
    <t>FB EV Đoan Ngọ</t>
  </si>
  <si>
    <t>Timeline update &amp; lên tin Kinh Mạch</t>
  </si>
  <si>
    <t>Chốt ngoại quan đồng bộ trong BU</t>
  </si>
  <si>
    <t>RP họp định kỳ T6</t>
  </si>
  <si>
    <t>File giải đấu Việt Trung</t>
  </si>
  <si>
    <t>Edit event Thanh Minh -&gt; Giỗ Tổ</t>
  </si>
  <si>
    <t>Điều tra thằng nạp 50K 300 lần</t>
  </si>
  <si>
    <t>Thưởng Vòng Quay Mừng Lễ</t>
  </si>
  <si>
    <t>Check data bày bán</t>
  </si>
  <si>
    <t>Giải pháp cho user drop</t>
  </si>
  <si>
    <t>Hỗ trợ VIP ở sv mới</t>
  </si>
  <si>
    <t>Plan nửa đầu T7</t>
  </si>
  <si>
    <t>Bổ sung thưởng event Sinh Nhật</t>
  </si>
  <si>
    <t>Điều chỉnh text Bảo Vệ Hồn Tổ Tiên</t>
  </si>
  <si>
    <t>Fix hoàn sao lãnh thổ</t>
  </si>
  <si>
    <t>Gửi đối tác data bị thiếu Tháng 2</t>
  </si>
  <si>
    <t xml:space="preserve">Ưu hóa cấp độ </t>
  </si>
  <si>
    <t>RP T5 cho đối tác</t>
  </si>
  <si>
    <t>Test thưởng vòng quay Sinh Nhật</t>
  </si>
  <si>
    <t>Code report</t>
  </si>
  <si>
    <t>Ưu hóa mở rộng Kinh Mạch</t>
  </si>
  <si>
    <t>FB EV 1-6</t>
  </si>
  <si>
    <t>Gửi đối tác data bị thiếu tuần 9-10/4</t>
  </si>
  <si>
    <t>File họp đối tác</t>
  </si>
  <si>
    <t>Plan T4</t>
  </si>
  <si>
    <t>Đánh giá lại Vận Tiêu và nguồn sinh Kinh Mạch</t>
  </si>
  <si>
    <t>Đánh giá BU</t>
  </si>
  <si>
    <t>Đền bù nạp (retry thành công, thất bại)</t>
  </si>
  <si>
    <t>BÁ ĐAO</t>
  </si>
  <si>
    <t>Tiêu Dao</t>
  </si>
  <si>
    <t>Trang Bị Đồng Hành</t>
  </si>
  <si>
    <t>Hãn Hải Mật Thành</t>
  </si>
  <si>
    <t>Hiệp Lữ</t>
  </si>
  <si>
    <t>Bộ kỹ năng lv90</t>
  </si>
  <si>
    <t>3. Hỗ trợ hàng tháng trong tuần có ngày 25</t>
  </si>
  <si>
    <t>T1/2025</t>
  </si>
  <si>
    <t>T2/2025</t>
  </si>
  <si>
    <t>T3/2025</t>
  </si>
  <si>
    <t>T4/2025</t>
  </si>
  <si>
    <t>T5/2025</t>
  </si>
  <si>
    <t>T6/2025</t>
  </si>
  <si>
    <t>T7/2025</t>
  </si>
  <si>
    <t>T8/2025</t>
  </si>
  <si>
    <t>T9/2025</t>
  </si>
  <si>
    <t>T10/2025</t>
  </si>
  <si>
    <t>T11/2025</t>
  </si>
  <si>
    <t>T12/2025</t>
  </si>
  <si>
    <t>Promotion Tết (4.7B, 4.2K PU)</t>
  </si>
  <si>
    <t>TNTB (1.5B, 1.5K PU)</t>
  </si>
  <si>
    <t>Valentine (2B, 4K PU)</t>
  </si>
  <si>
    <t>Thần Thạch Bí Ẩn (2.2B, 4K PU)</t>
  </si>
  <si>
    <t>Quà Vào Hạ (1.7B, 2.8K PU)</t>
  </si>
  <si>
    <t>Quà Mùa Hè (1.8B, 3K PU)</t>
  </si>
  <si>
    <t>长歌诗韵-Trường Ca Thơ Vận (1.9B, 4.9K PU)</t>
  </si>
  <si>
    <t>Thước Kiều Tầm Duyên (1.9B, 1.1K PU)</t>
  </si>
  <si>
    <t>Quà Tặng Thân Tình (1.1B, 2.7K PU)</t>
  </si>
  <si>
    <t>Dự Báo</t>
  </si>
  <si>
    <t>Quà Tuyệt Sắc (1.6B, 2.6K PU)</t>
  </si>
  <si>
    <t>Vòng Chung Kết (Liên Máy Chủ)</t>
  </si>
  <si>
    <t>Tổng Kết Vòng CK</t>
  </si>
  <si>
    <t>Black Friday</t>
  </si>
  <si>
    <t>Rương Thiên Giáng Hồng Phúc (1.7B, 3.6K PU)</t>
  </si>
  <si>
    <t>Quà Giáng Sinh (1.6B, 2.5K PU)</t>
  </si>
  <si>
    <t>Quà Khai Xuân (2.2B, 3.6K PU)</t>
  </si>
  <si>
    <t>Quà Du Xuân (2.1B, 3.2K PU)</t>
  </si>
  <si>
    <t>Promotion Sinh Nhật (3.8B, 3.2K PU)</t>
  </si>
  <si>
    <t>TNTB (1.2B, 1.2K PU)</t>
  </si>
  <si>
    <t>Rương Thiên Giáng Hồng Phúc (2B, 4.3K PU)</t>
  </si>
  <si>
    <t>Promotion Kho Báu Mùa Hè (1.6B, 1.9K PU)</t>
  </si>
  <si>
    <t>Thần Thạch Bí Ẩn (1.6B, 2.9K PU)</t>
  </si>
  <si>
    <t>奇珍阁特惠- Ưu đãi KTC</t>
  </si>
  <si>
    <t>Thần Thạch Bí Ẩn (2.3B, 3.7K PU)</t>
  </si>
  <si>
    <t>Chân Tình Bảo Rương</t>
  </si>
  <si>
    <t>Nhất Kiếm Chiêu Anh (1.5B, 4.2K PU)</t>
  </si>
  <si>
    <t>Tổng Kết Vòng Loại</t>
  </si>
  <si>
    <t>TNTB (1B, 1.1K PU)</t>
  </si>
  <si>
    <t>Ưu Đãi 01-01 (624M, 2.5K PU)</t>
  </si>
  <si>
    <t>Khởi Niên Tầm Duyên (2.8B, 2.7K PU)</t>
  </si>
  <si>
    <t>Chuỗi event Tết Nguyên Đán</t>
  </si>
  <si>
    <t>Quà Sinh Nhật (2.1B, 3.5K PU)</t>
  </si>
  <si>
    <t>Giỗ Tổ Hùng Vương: Ghép (1.8 B, 5.1K PU), Quà (2B, 3.1K PU)</t>
  </si>
  <si>
    <t>再闯江湖 - Tái xuất giang hồ</t>
  </si>
  <si>
    <t>Đồng Tâm Tình Duyên</t>
  </si>
  <si>
    <t>Hộp Quà Trung Thu (1.8B, 3.1K PU)</t>
  </si>
  <si>
    <t>Vòng Loại (Máy Chủ)</t>
  </si>
  <si>
    <t>TNTB (1B, 1.12K PU)</t>
  </si>
  <si>
    <t>Promotion Webshop</t>
  </si>
  <si>
    <t>Tầm Duyên Hoa Vũ (2.5B, 2.3K PU)</t>
  </si>
  <si>
    <t>Công Viên Giải Trí (1.6B, 3.6k PU)</t>
  </si>
  <si>
    <t>Quà Đoan Ngọ (1.7B, 3.1K PU)</t>
  </si>
  <si>
    <t>Nhật Hạ Tầm Duyên (2.3B, 2.1K PU)</t>
  </si>
  <si>
    <t>首充双倍-X2 nạp đầu</t>
  </si>
  <si>
    <t>Khuynh Quốc Khuynh Thành (1B, 2.8K PU)</t>
  </si>
  <si>
    <t>Rương Phúc Tinh Cao Chiếu (1.6B, 3.5K PU)</t>
  </si>
  <si>
    <t>Tri Ân Sư Đồ (1.1B, 3K PU)</t>
  </si>
  <si>
    <t>Vòng Tuyển Chọn (0.66B, 2.9K PU)</t>
  </si>
  <si>
    <t>Vòng Tranh Đoạt</t>
  </si>
  <si>
    <t>Vòng Chung Kết</t>
  </si>
  <si>
    <t>Tết Nguyên Tiêu (1.5B, 3.4K PU)</t>
  </si>
  <si>
    <t>Đào Hoa (ghép) (2.1B, 6K PU) + làm bánh đua top (274M + 3K PU)</t>
  </si>
  <si>
    <t>Event Lao Động (Ghép 1.3B, 3.4K PU), (Thần Thạch 1.6B, 3.1K PU)</t>
  </si>
  <si>
    <t>资料片礼物-Quà BU</t>
  </si>
  <si>
    <t>Rương Phú Quý Cát Tường (2.2B, 4.3K PU)</t>
  </si>
  <si>
    <t>Giang Sơn Như Họa (1.4B, 3.4K PU)</t>
  </si>
  <si>
    <t>Rương Tường Vân Đại Cát (2.3B, 4.3K PU)</t>
  </si>
  <si>
    <t>Quà Trung Thu (1.7B, 2.7K PU)</t>
  </si>
  <si>
    <t>Hoa Hải Mịch Duyên (1.6B, 898 PU)</t>
  </si>
  <si>
    <t>Quà Sư Đồ (1.5B, 2.7K PU)</t>
  </si>
  <si>
    <t>Tầm Duyên Ngày Đông (1.8B, 1K PU)</t>
  </si>
  <si>
    <t>D1</t>
  </si>
  <si>
    <t>D2</t>
  </si>
  <si>
    <t>D3</t>
  </si>
  <si>
    <t>D4</t>
  </si>
  <si>
    <t>T32</t>
  </si>
  <si>
    <t>T16</t>
  </si>
  <si>
    <t>T2 - T1</t>
  </si>
  <si>
    <t>Giải Đấu Siêu Sao Đại Chiến</t>
  </si>
  <si>
    <t>Boss Đào Hoa</t>
  </si>
  <si>
    <t>烟花庆典-Pháo hoa mừng lễ</t>
  </si>
  <si>
    <t>夏日钓鱼_Câu Cá Ngày Hè (1.3B, 2.5K PU)</t>
  </si>
  <si>
    <t>Ưu Đãi KTC</t>
  </si>
  <si>
    <t>Thần Thạch Bí Ẩn (1.8B, 3.3K PU)</t>
  </si>
  <si>
    <t>Tuyển Chọn (Đua Top 50 TP LSV)</t>
  </si>
  <si>
    <t>Giảm Giá KTC</t>
  </si>
  <si>
    <t>Phó bản Thiên Quỳnh Cung (mới) (tàng bảo đồ)</t>
  </si>
  <si>
    <t>Tầm Duyên Mùa Hè (2.5B, 2.3K PU)</t>
  </si>
  <si>
    <t>Đoan Ngọ Gói Bánh (1.4B, 2.8K PU)</t>
  </si>
  <si>
    <t>Quà Trường Ca (1.8B, 2.7K PU)</t>
  </si>
  <si>
    <t>Bonus thưởng nạp 100K</t>
  </si>
  <si>
    <t>Ưu Đãi 10-10</t>
  </si>
  <si>
    <t>Quà Nhất Phẩm (1.5B, K PU)</t>
  </si>
  <si>
    <t>Ném Tuyết</t>
  </si>
  <si>
    <t>Bang Hội Khiêu Chiến -&gt; đánh Bánh Kem</t>
  </si>
  <si>
    <t>Ưu hóa cải thiện gameplay Loạn đấu môn phái</t>
  </si>
  <si>
    <t>Quà Tình Duyên (1.8B, 2.8K PU)</t>
  </si>
  <si>
    <t>Năng Động Mừng Lễ</t>
  </si>
  <si>
    <t>Gửi gói đầu</t>
  </si>
  <si>
    <t>Gửi gói  2</t>
  </si>
  <si>
    <t>submit iOS</t>
  </si>
  <si>
    <t>submit storekit android</t>
  </si>
  <si>
    <t>西夏一品_Nhất Phẩm Tây Hạ (1.7B, 4.7K PU)</t>
  </si>
  <si>
    <t>Băng Tuyết Đại Đạo</t>
  </si>
  <si>
    <t>Tái Xuất Giang Hồ (kết hợp ưu hóa mời bạn)</t>
  </si>
  <si>
    <t>Ưu hóa lĩnh ngộ chung cho hê thống thức tỉnh đồng hành</t>
  </si>
  <si>
    <t>Kỹ Năng Thú B5</t>
  </si>
  <si>
    <t>Thần Binh 10 Sao</t>
  </si>
  <si>
    <t>Trang Trí Cây Thông (1B, 1.9K PU)</t>
  </si>
  <si>
    <t>Reset X2 NB, Quà BU</t>
  </si>
  <si>
    <t>Ưu hóa Rương Thần Binh nhận từ Lò Thần có thể giao dịch/bày bán</t>
  </si>
  <si>
    <t>PB quân doanh mới: Hải Lăng Vương Mộ</t>
  </si>
  <si>
    <t>福运周卡_Phúc Vận Thẻ Tuần</t>
  </si>
  <si>
    <t>Hộp Quà Giáng Sinh (1.3B, 2.6K PU)</t>
  </si>
  <si>
    <t>Mở rộng ưu đãi chỉ số cho người đến sau mở rộng từ KT9 trở đi</t>
  </si>
  <si>
    <t>Mở S300 - Trường Sinh Kiếm (Sinh Nhật 2T)</t>
  </si>
  <si>
    <t>Đào Hoa</t>
  </si>
  <si>
    <t>Level Up softlaunch</t>
  </si>
  <si>
    <t>Trường Ca</t>
  </si>
  <si>
    <t>Nhất Phẩm Đường</t>
  </si>
  <si>
    <t>Thần Binh</t>
  </si>
  <si>
    <t>Trận Pháp Đồng Hành</t>
  </si>
  <si>
    <t>Bộ Trấn Nhạc</t>
  </si>
  <si>
    <t>Loạn Chiến Môn Phái</t>
  </si>
  <si>
    <t>Thủ Vệ Tương Dương</t>
  </si>
  <si>
    <t>Hiệp Khách Đảo</t>
  </si>
  <si>
    <t>Lãnh Thổ Chiến LSV</t>
  </si>
  <si>
    <t>TNTB (1B, 1.17K PU)</t>
  </si>
  <si>
    <t>Quà Khai Xuân (1.6B, 2.5K PU)</t>
  </si>
  <si>
    <t>Quà Du Xuân  (1.4B, 2.2K PU)</t>
  </si>
  <si>
    <t>Quà Sinh Nhật  (B, K PU)</t>
  </si>
  <si>
    <t>Quà Mừng Lễ  (B, K PU)</t>
  </si>
  <si>
    <t>Quà  (B, K PU)</t>
  </si>
  <si>
    <t>Rương Phúc Mãn Nhân Gian (1.1B, 3K PU)</t>
  </si>
  <si>
    <t>Rương Phúc Lộc Tề Thiên (1.7B, 2.6K PU)</t>
  </si>
  <si>
    <t>Phượng Các Tầm Duyên (1.6B, 1.5K PU)</t>
  </si>
  <si>
    <t>Tầm Duyên (B, K PU)</t>
  </si>
  <si>
    <t>Thần Thạch Bí Ẩn (1.8B, 3.1K PU)</t>
  </si>
  <si>
    <t>Thần Thạch Bí Ẩn (1.6B, 2.8K PU)</t>
  </si>
  <si>
    <t>Thần Thạch Bí Ẩn (B, K PU)</t>
  </si>
  <si>
    <t>Chuỗi Event Chào Mừng Năm Mới</t>
  </si>
  <si>
    <t>Chuỗi Event Vui Xuân Trẩy Hội</t>
  </si>
  <si>
    <t>Promotion Tết - Mã Đáo Vinh Hoa (3.3B, 2K PU)</t>
  </si>
  <si>
    <t>Chuỗi Event PBM: Nghịch Thế Võ Hồn (B, K PU)</t>
  </si>
  <si>
    <t>Ưu Đãi 01-01 (0.5B, 2.3K PU)</t>
  </si>
  <si>
    <t>Vui Xuân Trẩy Hội (0.6B, 2.1K PU)</t>
  </si>
  <si>
    <t>Chuỗi event Tết</t>
  </si>
  <si>
    <t>Chuỗi Event Tết Nguyên Tiêu</t>
  </si>
  <si>
    <t>Nghịch Thế Võ Hồn (1.1B, 2.6K PU)</t>
  </si>
  <si>
    <t>GIỗ Tổ</t>
  </si>
  <si>
    <t>Sưu Tầm Quốc Kỳ</t>
  </si>
  <si>
    <t>Săn Bóng WC</t>
  </si>
  <si>
    <t>Năm Mới Năng Động</t>
  </si>
  <si>
    <t>Đố Đèn Hoa Đăng</t>
  </si>
  <si>
    <t>Mâm Cỗ Tiến Vua</t>
  </si>
  <si>
    <t>Trổ Tài Dự Đoán</t>
  </si>
  <si>
    <t>Khởi Niên Tầm Duyên (1.6B, 1.4K PU)</t>
  </si>
  <si>
    <t>Món Ngon Nguyên Tiêu (1.2B, 3K PU)</t>
  </si>
  <si>
    <t>Dâng Hương Bái Tổ</t>
  </si>
  <si>
    <t>Năm Mới x2</t>
  </si>
  <si>
    <t>Cùng Vui Đón Tết</t>
  </si>
  <si>
    <t>Tiệc Nguyên Tiêu</t>
  </si>
  <si>
    <t>Hộp Quà Mừng Lễ</t>
  </si>
  <si>
    <t>Bảo Vệ Hồn Tổ Tiên</t>
  </si>
  <si>
    <t>Lao Động</t>
  </si>
  <si>
    <t>Đếm Ngược Tân Xuân</t>
  </si>
  <si>
    <t>Làm Vườn</t>
  </si>
  <si>
    <t>Ưu Đãi Tân Niên</t>
  </si>
  <si>
    <t>Chuỗi Event Sinh Nhật 3 Tuổi: Minh Đăng Yến Hội</t>
  </si>
  <si>
    <t>Rương</t>
  </si>
  <si>
    <t>Promotion Bánh Kem Sinh Nhật</t>
  </si>
  <si>
    <t>Điểm Danh</t>
  </si>
  <si>
    <t>Cuối Tuần x2</t>
  </si>
  <si>
    <t>Promotion Mừng Tiệc Sinh Thần</t>
  </si>
  <si>
    <t>X2 Cuối tuần</t>
  </si>
  <si>
    <t>Event Valentine</t>
  </si>
  <si>
    <t>Promotion Bằng Hữu Nghĩa Tình</t>
  </si>
  <si>
    <t>Ưu Đãi Ngoại Quan Tình Nhân</t>
  </si>
  <si>
    <t>Event Sinh Nhật</t>
  </si>
  <si>
    <t>Quà Tình Nhân</t>
  </si>
  <si>
    <t>Lộc Xuân Rộn Ràng</t>
  </si>
  <si>
    <t>BU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</si>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</sst>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scheme val="minor"/>
    </font>
    <font>
      <sz val="11"/>
      <color rgb="FF006100"/>
      <name val="Calibri"/>
      <charset val="134"/>
      <scheme val="minor"/>
    </font>
    <font>
      <sz val="12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FFFF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scheme val="minor"/>
    </font>
    <font>
      <b/>
      <sz val="11"/>
      <color rgb="FFFF0000"/>
      <name val="Times New Roman"/>
    </font>
    <font>
      <b/>
      <sz val="11"/>
      <color rgb="FFFF0000"/>
      <name val="宋体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Helvetica Neue"/>
      <charset val="1"/>
    </font>
    <font>
      <b/>
      <sz val="11"/>
      <color rgb="FFC0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00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00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8" fillId="10" borderId="0" applyNumberFormat="0" applyBorder="0" applyAlignment="0" applyProtection="0"/>
  </cellStyleXfs>
  <cellXfs count="317">
    <xf numFmtId="0" fontId="0" fillId="0" borderId="0" xfId="0"/>
    <xf numFmtId="164" fontId="2" fillId="4" borderId="1" xfId="1" applyNumberFormat="1" applyFill="1" applyBorder="1" applyAlignment="1">
      <alignment horizontal="centerContinuous"/>
    </xf>
    <xf numFmtId="0" fontId="3" fillId="0" borderId="3" xfId="1" applyFont="1" applyFill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  <xf numFmtId="164" fontId="2" fillId="4" borderId="8" xfId="1" applyNumberFormat="1" applyFill="1" applyBorder="1" applyAlignment="1">
      <alignment horizontal="centerContinuous"/>
    </xf>
    <xf numFmtId="0" fontId="0" fillId="0" borderId="2" xfId="0" applyBorder="1"/>
    <xf numFmtId="0" fontId="0" fillId="5" borderId="2" xfId="0" applyFill="1" applyBorder="1"/>
    <xf numFmtId="0" fontId="4" fillId="5" borderId="2" xfId="0" applyFont="1" applyFill="1" applyBorder="1"/>
    <xf numFmtId="164" fontId="5" fillId="5" borderId="8" xfId="1" applyNumberFormat="1" applyFont="1" applyFill="1" applyBorder="1" applyAlignment="1">
      <alignment horizontal="centerContinuous"/>
    </xf>
    <xf numFmtId="0" fontId="0" fillId="0" borderId="3" xfId="0" applyBorder="1" applyAlignment="1">
      <alignment horizontal="center" vertical="center"/>
    </xf>
    <xf numFmtId="0" fontId="4" fillId="5" borderId="3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164" fontId="5" fillId="5" borderId="1" xfId="1" applyNumberFormat="1" applyFont="1" applyFill="1" applyBorder="1" applyAlignment="1">
      <alignment horizontal="centerContinuous"/>
    </xf>
    <xf numFmtId="0" fontId="4" fillId="5" borderId="15" xfId="0" applyFont="1" applyFill="1" applyBorder="1"/>
    <xf numFmtId="0" fontId="4" fillId="5" borderId="16" xfId="0" applyFont="1" applyFill="1" applyBorder="1"/>
    <xf numFmtId="0" fontId="3" fillId="0" borderId="21" xfId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0" fillId="0" borderId="30" xfId="0" applyBorder="1"/>
    <xf numFmtId="0" fontId="0" fillId="0" borderId="32" xfId="0" applyBorder="1"/>
    <xf numFmtId="0" fontId="0" fillId="0" borderId="21" xfId="0" applyBorder="1" applyAlignment="1">
      <alignment horizontal="center" vertical="center"/>
    </xf>
    <xf numFmtId="0" fontId="4" fillId="5" borderId="24" xfId="0" applyFont="1" applyFill="1" applyBorder="1"/>
    <xf numFmtId="0" fontId="3" fillId="0" borderId="13" xfId="1" applyFont="1" applyFill="1" applyBorder="1" applyAlignment="1">
      <alignment horizontal="center" vertical="center"/>
    </xf>
    <xf numFmtId="0" fontId="4" fillId="5" borderId="11" xfId="0" applyFont="1" applyFill="1" applyBorder="1"/>
    <xf numFmtId="0" fontId="0" fillId="0" borderId="34" xfId="0" applyBorder="1"/>
    <xf numFmtId="0" fontId="0" fillId="5" borderId="24" xfId="0" applyFill="1" applyBorder="1"/>
    <xf numFmtId="0" fontId="0" fillId="0" borderId="13" xfId="0" applyBorder="1" applyAlignment="1">
      <alignment horizontal="center" vertical="center"/>
    </xf>
    <xf numFmtId="0" fontId="0" fillId="5" borderId="11" xfId="0" applyFill="1" applyBorder="1"/>
    <xf numFmtId="164" fontId="2" fillId="4" borderId="39" xfId="1" applyNumberFormat="1" applyFill="1" applyBorder="1" applyAlignment="1">
      <alignment horizontal="centerContinuous"/>
    </xf>
    <xf numFmtId="0" fontId="2" fillId="3" borderId="40" xfId="1" applyFill="1" applyBorder="1" applyAlignment="1">
      <alignment horizontal="center" vertical="center"/>
    </xf>
    <xf numFmtId="0" fontId="0" fillId="6" borderId="25" xfId="0" applyFill="1" applyBorder="1"/>
    <xf numFmtId="0" fontId="0" fillId="0" borderId="9" xfId="0" applyBorder="1"/>
    <xf numFmtId="0" fontId="4" fillId="5" borderId="0" xfId="0" applyFont="1" applyFill="1" applyAlignment="1">
      <alignment horizontal="center"/>
    </xf>
    <xf numFmtId="0" fontId="3" fillId="0" borderId="2" xfId="1" applyFont="1" applyFill="1" applyBorder="1" applyAlignment="1">
      <alignment horizontal="center" vertical="center"/>
    </xf>
    <xf numFmtId="0" fontId="0" fillId="6" borderId="2" xfId="0" applyFill="1" applyBorder="1"/>
    <xf numFmtId="0" fontId="0" fillId="0" borderId="26" xfId="0" applyBorder="1" applyAlignment="1">
      <alignment horizontal="center" vertical="center"/>
    </xf>
    <xf numFmtId="0" fontId="0" fillId="5" borderId="25" xfId="0" applyFill="1" applyBorder="1"/>
    <xf numFmtId="0" fontId="4" fillId="5" borderId="25" xfId="0" applyFont="1" applyFill="1" applyBorder="1"/>
    <xf numFmtId="0" fontId="0" fillId="0" borderId="48" xfId="0" applyBorder="1"/>
    <xf numFmtId="0" fontId="0" fillId="0" borderId="49" xfId="0" applyBorder="1" applyAlignment="1">
      <alignment horizontal="center" vertical="center"/>
    </xf>
    <xf numFmtId="0" fontId="0" fillId="0" borderId="50" xfId="0" applyBorder="1"/>
    <xf numFmtId="0" fontId="0" fillId="5" borderId="50" xfId="0" applyFill="1" applyBorder="1"/>
    <xf numFmtId="0" fontId="4" fillId="5" borderId="50" xfId="0" applyFont="1" applyFill="1" applyBorder="1"/>
    <xf numFmtId="0" fontId="0" fillId="0" borderId="51" xfId="0" applyBorder="1"/>
    <xf numFmtId="0" fontId="0" fillId="0" borderId="0" xfId="0" quotePrefix="1"/>
    <xf numFmtId="0" fontId="0" fillId="8" borderId="24" xfId="0" applyFill="1" applyBorder="1"/>
    <xf numFmtId="0" fontId="0" fillId="8" borderId="11" xfId="0" applyFill="1" applyBorder="1"/>
    <xf numFmtId="0" fontId="0" fillId="8" borderId="25" xfId="0" applyFill="1" applyBorder="1"/>
    <xf numFmtId="0" fontId="0" fillId="8" borderId="2" xfId="0" applyFill="1" applyBorder="1"/>
    <xf numFmtId="0" fontId="0" fillId="8" borderId="50" xfId="0" applyFill="1" applyBorder="1"/>
    <xf numFmtId="164" fontId="5" fillId="4" borderId="1" xfId="1" applyNumberFormat="1" applyFont="1" applyFill="1" applyBorder="1" applyAlignment="1">
      <alignment horizontal="centerContinuous"/>
    </xf>
    <xf numFmtId="0" fontId="0" fillId="0" borderId="52" xfId="0" applyBorder="1"/>
    <xf numFmtId="0" fontId="0" fillId="9" borderId="25" xfId="0" applyFill="1" applyBorder="1"/>
    <xf numFmtId="0" fontId="0" fillId="9" borderId="2" xfId="0" applyFill="1" applyBorder="1"/>
    <xf numFmtId="0" fontId="0" fillId="9" borderId="11" xfId="0" applyFill="1" applyBorder="1"/>
    <xf numFmtId="0" fontId="0" fillId="9" borderId="24" xfId="0" applyFill="1" applyBorder="1"/>
    <xf numFmtId="0" fontId="0" fillId="6" borderId="21" xfId="0" applyFill="1" applyBorder="1"/>
    <xf numFmtId="0" fontId="4" fillId="0" borderId="0" xfId="0" applyFont="1"/>
    <xf numFmtId="0" fontId="0" fillId="0" borderId="33" xfId="0" applyBorder="1"/>
    <xf numFmtId="0" fontId="4" fillId="9" borderId="2" xfId="0" applyFont="1" applyFill="1" applyBorder="1"/>
    <xf numFmtId="0" fontId="0" fillId="0" borderId="54" xfId="0" applyBorder="1"/>
    <xf numFmtId="0" fontId="0" fillId="0" borderId="53" xfId="0" applyBorder="1"/>
    <xf numFmtId="165" fontId="0" fillId="0" borderId="0" xfId="0" applyNumberFormat="1"/>
    <xf numFmtId="3" fontId="0" fillId="0" borderId="0" xfId="0" applyNumberFormat="1"/>
    <xf numFmtId="164" fontId="11" fillId="4" borderId="1" xfId="1" applyNumberFormat="1" applyFont="1" applyFill="1" applyBorder="1" applyAlignment="1">
      <alignment horizontal="centerContinuous"/>
    </xf>
    <xf numFmtId="0" fontId="0" fillId="0" borderId="57" xfId="0" applyBorder="1"/>
    <xf numFmtId="0" fontId="0" fillId="0" borderId="42" xfId="0" applyBorder="1"/>
    <xf numFmtId="0" fontId="0" fillId="9" borderId="0" xfId="0" applyFill="1"/>
    <xf numFmtId="164" fontId="5" fillId="4" borderId="8" xfId="1" applyNumberFormat="1" applyFont="1" applyFill="1" applyBorder="1" applyAlignment="1">
      <alignment horizontal="centerContinuous"/>
    </xf>
    <xf numFmtId="0" fontId="18" fillId="0" borderId="12" xfId="0" applyFont="1" applyBorder="1"/>
    <xf numFmtId="164" fontId="2" fillId="4" borderId="38" xfId="1" applyNumberFormat="1" applyFill="1" applyBorder="1" applyAlignment="1">
      <alignment horizontal="centerContinuous"/>
    </xf>
    <xf numFmtId="165" fontId="0" fillId="0" borderId="61" xfId="0" applyNumberFormat="1" applyBorder="1" applyAlignment="1">
      <alignment horizontal="center" vertical="center"/>
    </xf>
    <xf numFmtId="0" fontId="3" fillId="0" borderId="33" xfId="1" applyFont="1" applyFill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/>
    <xf numFmtId="0" fontId="0" fillId="5" borderId="53" xfId="0" applyFill="1" applyBorder="1"/>
    <xf numFmtId="0" fontId="2" fillId="3" borderId="67" xfId="1" applyFill="1" applyBorder="1" applyAlignment="1">
      <alignment horizontal="center" vertical="center"/>
    </xf>
    <xf numFmtId="0" fontId="2" fillId="3" borderId="68" xfId="1" applyFill="1" applyBorder="1" applyAlignment="1">
      <alignment horizontal="center" vertical="center"/>
    </xf>
    <xf numFmtId="164" fontId="2" fillId="4" borderId="69" xfId="1" applyNumberFormat="1" applyFill="1" applyBorder="1" applyAlignment="1">
      <alignment horizontal="centerContinuous"/>
    </xf>
    <xf numFmtId="165" fontId="0" fillId="0" borderId="71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165" fontId="0" fillId="0" borderId="53" xfId="0" applyNumberFormat="1" applyBorder="1" applyAlignment="1">
      <alignment horizontal="center" vertical="center"/>
    </xf>
    <xf numFmtId="165" fontId="0" fillId="0" borderId="72" xfId="0" applyNumberFormat="1" applyBorder="1" applyAlignment="1">
      <alignment horizontal="center" vertical="center"/>
    </xf>
    <xf numFmtId="0" fontId="4" fillId="0" borderId="2" xfId="0" applyFont="1" applyBorder="1"/>
    <xf numFmtId="165" fontId="0" fillId="0" borderId="2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47" xfId="0" applyNumberFormat="1" applyBorder="1" applyAlignment="1">
      <alignment horizontal="center" vertical="center"/>
    </xf>
    <xf numFmtId="3" fontId="21" fillId="0" borderId="0" xfId="0" applyNumberFormat="1" applyFont="1"/>
    <xf numFmtId="0" fontId="4" fillId="5" borderId="12" xfId="0" applyFont="1" applyFill="1" applyBorder="1"/>
    <xf numFmtId="0" fontId="18" fillId="0" borderId="2" xfId="0" applyFont="1" applyBorder="1"/>
    <xf numFmtId="0" fontId="22" fillId="14" borderId="3" xfId="0" applyFont="1" applyFill="1" applyBorder="1" applyAlignment="1">
      <alignment horizontal="center" vertical="center" wrapText="1"/>
    </xf>
    <xf numFmtId="164" fontId="2" fillId="4" borderId="1" xfId="1" applyNumberFormat="1" applyFill="1" applyBorder="1" applyAlignment="1">
      <alignment horizontal="center"/>
    </xf>
    <xf numFmtId="164" fontId="5" fillId="4" borderId="1" xfId="1" applyNumberFormat="1" applyFont="1" applyFill="1" applyBorder="1" applyAlignment="1">
      <alignment horizontal="center"/>
    </xf>
    <xf numFmtId="164" fontId="11" fillId="4" borderId="1" xfId="1" applyNumberFormat="1" applyFont="1" applyFill="1" applyBorder="1" applyAlignment="1">
      <alignment horizontal="center"/>
    </xf>
    <xf numFmtId="0" fontId="22" fillId="14" borderId="13" xfId="0" applyFont="1" applyFill="1" applyBorder="1" applyAlignment="1">
      <alignment horizontal="center" vertical="center" wrapText="1"/>
    </xf>
    <xf numFmtId="0" fontId="22" fillId="14" borderId="13" xfId="0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164" fontId="2" fillId="19" borderId="1" xfId="1" applyNumberFormat="1" applyFill="1" applyBorder="1" applyAlignment="1">
      <alignment horizontal="center"/>
    </xf>
    <xf numFmtId="164" fontId="2" fillId="13" borderId="1" xfId="1" applyNumberFormat="1" applyFill="1" applyBorder="1" applyAlignment="1">
      <alignment horizontal="center"/>
    </xf>
    <xf numFmtId="164" fontId="5" fillId="13" borderId="1" xfId="1" applyNumberFormat="1" applyFont="1" applyFill="1" applyBorder="1" applyAlignment="1">
      <alignment horizontal="center"/>
    </xf>
    <xf numFmtId="0" fontId="20" fillId="7" borderId="2" xfId="0" applyFont="1" applyFill="1" applyBorder="1"/>
    <xf numFmtId="0" fontId="20" fillId="7" borderId="11" xfId="0" applyFont="1" applyFill="1" applyBorder="1"/>
    <xf numFmtId="0" fontId="13" fillId="6" borderId="3" xfId="3" applyFont="1" applyFill="1" applyBorder="1" applyAlignment="1">
      <alignment horizontal="center" vertical="center"/>
    </xf>
    <xf numFmtId="0" fontId="13" fillId="6" borderId="9" xfId="3" applyFont="1" applyFill="1" applyBorder="1" applyAlignment="1">
      <alignment horizontal="center" vertical="center"/>
    </xf>
    <xf numFmtId="0" fontId="13" fillId="6" borderId="10" xfId="3" applyFont="1" applyFill="1" applyBorder="1" applyAlignment="1">
      <alignment horizontal="center" vertical="center"/>
    </xf>
    <xf numFmtId="0" fontId="0" fillId="18" borderId="3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8" borderId="10" xfId="0" applyFill="1" applyBorder="1" applyAlignment="1">
      <alignment horizontal="center"/>
    </xf>
    <xf numFmtId="0" fontId="0" fillId="0" borderId="75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" fillId="0" borderId="78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0" fillId="18" borderId="13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18" borderId="5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4" fillId="20" borderId="9" xfId="0" applyFont="1" applyFill="1" applyBorder="1" applyAlignment="1">
      <alignment horizontal="center"/>
    </xf>
    <xf numFmtId="0" fontId="24" fillId="20" borderId="10" xfId="0" applyFont="1" applyFill="1" applyBorder="1" applyAlignment="1">
      <alignment horizontal="center"/>
    </xf>
    <xf numFmtId="164" fontId="2" fillId="4" borderId="55" xfId="1" applyNumberFormat="1" applyFill="1" applyBorder="1" applyAlignment="1">
      <alignment horizontal="center"/>
    </xf>
    <xf numFmtId="164" fontId="2" fillId="4" borderId="58" xfId="1" applyNumberFormat="1" applyFill="1" applyBorder="1" applyAlignment="1">
      <alignment horizontal="center"/>
    </xf>
    <xf numFmtId="164" fontId="2" fillId="4" borderId="59" xfId="1" applyNumberForma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0" fontId="12" fillId="15" borderId="3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164" fontId="2" fillId="4" borderId="60" xfId="1" applyNumberFormat="1" applyFill="1" applyBorder="1" applyAlignment="1">
      <alignment horizontal="center"/>
    </xf>
    <xf numFmtId="164" fontId="2" fillId="4" borderId="66" xfId="1" applyNumberFormat="1" applyFill="1" applyBorder="1" applyAlignment="1">
      <alignment horizontal="center"/>
    </xf>
    <xf numFmtId="164" fontId="2" fillId="4" borderId="73" xfId="1" applyNumberFormat="1" applyFill="1" applyBorder="1" applyAlignment="1">
      <alignment horizontal="center"/>
    </xf>
    <xf numFmtId="164" fontId="2" fillId="4" borderId="74" xfId="1" applyNumberFormat="1" applyFill="1" applyBorder="1" applyAlignment="1">
      <alignment horizontal="center"/>
    </xf>
    <xf numFmtId="165" fontId="10" fillId="12" borderId="5" xfId="0" applyNumberFormat="1" applyFont="1" applyFill="1" applyBorder="1" applyAlignment="1">
      <alignment horizontal="center" vertical="center"/>
    </xf>
    <xf numFmtId="165" fontId="10" fillId="12" borderId="7" xfId="0" applyNumberFormat="1" applyFont="1" applyFill="1" applyBorder="1" applyAlignment="1">
      <alignment horizontal="center" vertical="center"/>
    </xf>
    <xf numFmtId="10" fontId="10" fillId="12" borderId="5" xfId="0" applyNumberFormat="1" applyFont="1" applyFill="1" applyBorder="1" applyAlignment="1">
      <alignment horizontal="center"/>
    </xf>
    <xf numFmtId="10" fontId="10" fillId="12" borderId="7" xfId="0" applyNumberFormat="1" applyFont="1" applyFill="1" applyBorder="1" applyAlignment="1">
      <alignment horizontal="center"/>
    </xf>
    <xf numFmtId="165" fontId="10" fillId="12" borderId="62" xfId="0" applyNumberFormat="1" applyFont="1" applyFill="1" applyBorder="1" applyAlignment="1">
      <alignment horizontal="center"/>
    </xf>
    <xf numFmtId="165" fontId="10" fillId="12" borderId="64" xfId="0" applyNumberFormat="1" applyFont="1" applyFill="1" applyBorder="1" applyAlignment="1">
      <alignment horizontal="center"/>
    </xf>
    <xf numFmtId="14" fontId="7" fillId="7" borderId="5" xfId="1" applyNumberFormat="1" applyFont="1" applyFill="1" applyBorder="1" applyAlignment="1">
      <alignment horizontal="center" vertical="center"/>
    </xf>
    <xf numFmtId="14" fontId="7" fillId="7" borderId="7" xfId="1" applyNumberFormat="1" applyFont="1" applyFill="1" applyBorder="1" applyAlignment="1">
      <alignment horizontal="center" vertical="center"/>
    </xf>
    <xf numFmtId="164" fontId="2" fillId="4" borderId="65" xfId="1" applyNumberFormat="1" applyFill="1" applyBorder="1" applyAlignment="1">
      <alignment horizontal="center"/>
    </xf>
    <xf numFmtId="0" fontId="13" fillId="6" borderId="2" xfId="3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20" fillId="7" borderId="3" xfId="0" applyFont="1" applyFill="1" applyBorder="1" applyAlignment="1">
      <alignment horizontal="center"/>
    </xf>
    <xf numFmtId="0" fontId="20" fillId="7" borderId="9" xfId="0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/>
    </xf>
    <xf numFmtId="0" fontId="20" fillId="21" borderId="3" xfId="0" applyFont="1" applyFill="1" applyBorder="1" applyAlignment="1">
      <alignment horizontal="center"/>
    </xf>
    <xf numFmtId="0" fontId="20" fillId="21" borderId="9" xfId="0" applyFont="1" applyFill="1" applyBorder="1" applyAlignment="1">
      <alignment horizontal="center"/>
    </xf>
    <xf numFmtId="0" fontId="20" fillId="21" borderId="10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24" fillId="22" borderId="3" xfId="0" applyFont="1" applyFill="1" applyBorder="1" applyAlignment="1">
      <alignment horizontal="center"/>
    </xf>
    <xf numFmtId="0" fontId="24" fillId="22" borderId="9" xfId="0" applyFont="1" applyFill="1" applyBorder="1" applyAlignment="1">
      <alignment horizontal="center"/>
    </xf>
    <xf numFmtId="0" fontId="24" fillId="22" borderId="10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5" fillId="5" borderId="5" xfId="1" applyNumberFormat="1" applyFont="1" applyFill="1" applyBorder="1" applyAlignment="1">
      <alignment horizontal="center"/>
    </xf>
    <xf numFmtId="164" fontId="5" fillId="5" borderId="6" xfId="1" applyNumberFormat="1" applyFont="1" applyFill="1" applyBorder="1" applyAlignment="1">
      <alignment horizontal="center"/>
    </xf>
    <xf numFmtId="164" fontId="5" fillId="5" borderId="7" xfId="1" applyNumberFormat="1" applyFon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164" fontId="2" fillId="4" borderId="5" xfId="1" applyNumberFormat="1" applyFill="1" applyBorder="1" applyAlignment="1">
      <alignment horizontal="center"/>
    </xf>
    <xf numFmtId="164" fontId="2" fillId="4" borderId="6" xfId="1" applyNumberFormat="1" applyFill="1" applyBorder="1" applyAlignment="1">
      <alignment horizontal="center"/>
    </xf>
    <xf numFmtId="164" fontId="2" fillId="4" borderId="7" xfId="1" applyNumberFormat="1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8" borderId="47" xfId="0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10" fillId="12" borderId="0" xfId="0" applyFont="1" applyFill="1" applyAlignment="1">
      <alignment horizontal="center"/>
    </xf>
    <xf numFmtId="14" fontId="7" fillId="7" borderId="35" xfId="1" applyNumberFormat="1" applyFont="1" applyFill="1" applyBorder="1" applyAlignment="1">
      <alignment horizontal="center" vertical="center"/>
    </xf>
    <xf numFmtId="0" fontId="7" fillId="7" borderId="36" xfId="1" applyFont="1" applyFill="1" applyBorder="1" applyAlignment="1">
      <alignment horizontal="center" vertical="center"/>
    </xf>
    <xf numFmtId="0" fontId="7" fillId="7" borderId="37" xfId="1" applyFont="1" applyFill="1" applyBorder="1" applyAlignment="1">
      <alignment horizontal="center" vertical="center"/>
    </xf>
    <xf numFmtId="0" fontId="7" fillId="7" borderId="38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11" borderId="3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2" fillId="4" borderId="56" xfId="1" applyNumberForma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0" fontId="0" fillId="6" borderId="33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3" fillId="6" borderId="53" xfId="0" applyFont="1" applyFill="1" applyBorder="1" applyAlignment="1">
      <alignment horizontal="center"/>
    </xf>
    <xf numFmtId="164" fontId="2" fillId="4" borderId="24" xfId="1" applyNumberFormat="1" applyFill="1" applyBorder="1" applyAlignment="1">
      <alignment horizontal="center"/>
    </xf>
    <xf numFmtId="0" fontId="0" fillId="11" borderId="3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4" fillId="5" borderId="52" xfId="0" applyFont="1" applyFill="1" applyBorder="1" applyAlignment="1">
      <alignment horizontal="center"/>
    </xf>
    <xf numFmtId="0" fontId="0" fillId="6" borderId="1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4" fillId="5" borderId="33" xfId="0" applyFont="1" applyFill="1" applyBorder="1" applyAlignment="1">
      <alignment horizontal="center" vertical="center"/>
    </xf>
    <xf numFmtId="0" fontId="14" fillId="5" borderId="41" xfId="0" applyFont="1" applyFill="1" applyBorder="1" applyAlignment="1">
      <alignment horizontal="center" vertical="center"/>
    </xf>
    <xf numFmtId="0" fontId="14" fillId="5" borderId="4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14" fontId="7" fillId="7" borderId="55" xfId="1" applyNumberFormat="1" applyFont="1" applyFill="1" applyBorder="1" applyAlignment="1">
      <alignment horizontal="center" vertical="center"/>
    </xf>
    <xf numFmtId="14" fontId="7" fillId="7" borderId="56" xfId="1" applyNumberFormat="1" applyFont="1" applyFill="1" applyBorder="1" applyAlignment="1">
      <alignment horizontal="center" vertical="center"/>
    </xf>
    <xf numFmtId="165" fontId="10" fillId="12" borderId="63" xfId="0" applyNumberFormat="1" applyFont="1" applyFill="1" applyBorder="1" applyAlignment="1">
      <alignment horizontal="center"/>
    </xf>
    <xf numFmtId="165" fontId="10" fillId="12" borderId="70" xfId="0" applyNumberFormat="1" applyFont="1" applyFill="1" applyBorder="1" applyAlignment="1">
      <alignment horizontal="center"/>
    </xf>
    <xf numFmtId="0" fontId="10" fillId="12" borderId="7" xfId="0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3" borderId="54" xfId="0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22" fillId="14" borderId="3" xfId="0" applyFont="1" applyFill="1" applyBorder="1" applyAlignment="1">
      <alignment horizontal="center" wrapText="1"/>
    </xf>
    <xf numFmtId="0" fontId="22" fillId="14" borderId="9" xfId="0" applyFont="1" applyFill="1" applyBorder="1" applyAlignment="1">
      <alignment horizontal="center" wrapText="1"/>
    </xf>
    <xf numFmtId="0" fontId="22" fillId="14" borderId="10" xfId="0" applyFont="1" applyFill="1" applyBorder="1" applyAlignment="1">
      <alignment horizont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center" vertical="center" wrapText="1"/>
    </xf>
    <xf numFmtId="0" fontId="22" fillId="14" borderId="10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/>
    </xf>
    <xf numFmtId="0" fontId="22" fillId="14" borderId="9" xfId="0" applyFont="1" applyFill="1" applyBorder="1" applyAlignment="1">
      <alignment horizontal="center"/>
    </xf>
    <xf numFmtId="0" fontId="22" fillId="14" borderId="10" xfId="0" applyFont="1" applyFill="1" applyBorder="1" applyAlignment="1">
      <alignment horizontal="center"/>
    </xf>
    <xf numFmtId="0" fontId="0" fillId="6" borderId="3" xfId="0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23" fillId="5" borderId="3" xfId="0" applyFont="1" applyFill="1" applyBorder="1" applyAlignment="1">
      <alignment horizontal="center"/>
    </xf>
    <xf numFmtId="0" fontId="23" fillId="5" borderId="9" xfId="0" applyFont="1" applyFill="1" applyBorder="1" applyAlignment="1">
      <alignment horizontal="center"/>
    </xf>
    <xf numFmtId="0" fontId="23" fillId="5" borderId="10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10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/>
    </xf>
    <xf numFmtId="0" fontId="19" fillId="11" borderId="9" xfId="0" applyFont="1" applyFill="1" applyBorder="1" applyAlignment="1">
      <alignment horizontal="center"/>
    </xf>
    <xf numFmtId="0" fontId="19" fillId="11" borderId="10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/>
    </xf>
    <xf numFmtId="0" fontId="0" fillId="6" borderId="5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4" xfId="0" applyFill="1" applyBorder="1" applyAlignment="1">
      <alignment horizontal="center"/>
    </xf>
  </cellXfs>
  <cellStyles count="4">
    <cellStyle name="Accent3" xfId="1" builtinId="37"/>
    <cellStyle name="Good 2" xfId="3" xr:uid="{71994DF5-804F-4005-851C-3C934F2E19BC}"/>
    <cellStyle name="Normal" xfId="0" builtinId="0"/>
    <cellStyle name="Normal 2" xfId="2" xr:uid="{ACB58974-7B40-4CA4-B6A7-1210C7C3303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ảo. Đặng Ngọc (3)" id="{27707A2D-3E5D-4D97-8892-8B178605868F}" userId="S::baodn3@vng.com.vn::e21c7ba0-e149-4bd4-af0d-bd404fbce3f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Q2" dT="2024-07-15T07:07:37.34" personId="{27707A2D-3E5D-4D97-8892-8B178605868F}" id="{EE5C999C-02DF-4D1D-8128-D2C610B729FA}">
    <text>Thất Tịch</text>
  </threadedComment>
  <threadedComment ref="JC2" dT="2024-08-07T03:13:41.67" personId="{27707A2D-3E5D-4D97-8892-8B178605868F}" id="{2865070F-8824-4846-98A4-29181D67EED3}">
    <text>Trung Thu</text>
  </threadedComment>
  <threadedComment ref="KF2" dT="2024-08-09T06:57:22.33" personId="{27707A2D-3E5D-4D97-8892-8B178605868F}" id="{29B6C408-1EE7-4F50-BCA5-73A32A5CCF57}">
    <text>BU Bạch Đà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2" dT="2024-12-26T09:51:10.49" personId="{27707A2D-3E5D-4D97-8892-8B178605868F}" id="{74C628F5-7635-4A6C-BC1A-BFCFC12FB417}">
    <text>KS nghỉ Tết</text>
  </threadedComment>
  <threadedComment ref="AK2" dT="2024-12-26T09:50:49.20" personId="{27707A2D-3E5D-4D97-8892-8B178605868F}" id="{17FC542B-CF56-4FEF-9607-F9BFFC461D57}">
    <text>KS đi làm lại</text>
  </threadedComment>
  <threadedComment ref="CJ2" dT="2025-03-24T09:24:24.34" personId="{27707A2D-3E5D-4D97-8892-8B178605868F}" id="{8216E3D7-99E1-4057-8B8A-8EED9905AA7A}">
    <text>Sinh Nhật 2T</text>
  </threadedComment>
  <threadedComment ref="CU2" dT="2024-12-27T03:33:20.61" personId="{27707A2D-3E5D-4D97-8892-8B178605868F}" id="{839B8AF8-A1FF-4EC5-A3C3-D391A1F1B63F}">
    <text>Giỗ Tổ Hùng Vương</text>
  </threadedComment>
  <threadedComment ref="II2" dT="2025-06-16T03:12:25.89" personId="{27707A2D-3E5D-4D97-8892-8B178605868F}" id="{BB3D6310-EF75-457C-8470-2C65AA6C080A}">
    <text>Thất Tịch</text>
  </threadedComment>
  <threadedComment ref="JU2" dT="2025-07-14T02:29:58.52" personId="{27707A2D-3E5D-4D97-8892-8B178605868F}" id="{5CCD508D-AD30-4FCE-8B43-60FEA6CB289C}">
    <text>Trung Thu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X2" dT="2025-12-09T02:23:24.27" personId="{27707A2D-3E5D-4D97-8892-8B178605868F}" id="{AAEE879D-5540-4B3B-8177-5208943064FD}">
    <text>Mùng 1 Tết</text>
  </threadedComment>
  <threadedComment ref="CJ2" dT="2025-03-24T09:24:24.34" personId="{27707A2D-3E5D-4D97-8892-8B178605868F}" id="{4D2CE7C7-BCDF-42EB-A910-5CF27496C981}">
    <text>Sinh Nhật 3T</text>
  </threadedComment>
  <threadedComment ref="DN2" dT="2026-01-13T11:06:13.05" personId="{27707A2D-3E5D-4D97-8892-8B178605868F}" id="{4E96BA99-F4E8-4638-BB1D-464E482EE7AC}">
    <text>Giỗ Tổ</text>
  </threadedComment>
  <threadedComment ref="FP2" dT="2026-03-10T11:26:05.19" personId="{27707A2D-3E5D-4D97-8892-8B178605868F}" id="{7C3EA843-8CB8-407A-A41A-9BAFB197B39A}">
    <text>Đoan Ngọ</text>
  </threadedComment>
  <threadedComment ref="II2" dT="2025-06-16T03:12:25.89" personId="{27707A2D-3E5D-4D97-8892-8B178605868F}" id="{6CA349FE-E658-481C-9D90-58120305CDF1}">
    <text>Thất Tịch</text>
  </threadedComment>
  <threadedComment ref="JU2" dT="2025-07-14T02:29:58.52" personId="{27707A2D-3E5D-4D97-8892-8B178605868F}" id="{122A8181-CA80-46B6-A8BC-FFD46465D1FD}">
    <text>Trung Thu</text>
  </threadedComment>
  <threadedComment ref="LR2" dT="2026-01-13T11:07:45.16" personId="{27707A2D-3E5D-4D97-8892-8B178605868F}" id="{52C925D7-D645-43BE-9A9A-A49317A00CA0}">
    <text>Văn Hóa VN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X37"/>
  <sheetViews>
    <sheetView workbookViewId="0">
      <pane xSplit="2" ySplit="3" topLeftCell="J4" activePane="bottomRight" state="frozen"/>
      <selection pane="bottomRight" activeCell="K10" sqref="K10:W10"/>
      <selection pane="bottomLeft"/>
      <selection pane="topRight"/>
    </sheetView>
  </sheetViews>
  <sheetFormatPr defaultColWidth="3.85546875" defaultRowHeight="15"/>
  <cols>
    <col min="1" max="1" width="16" bestFit="1" customWidth="1"/>
    <col min="88" max="88" width="5.28515625" customWidth="1"/>
    <col min="120" max="120" width="3.28515625" bestFit="1" customWidth="1"/>
  </cols>
  <sheetData>
    <row r="1" spans="1:336">
      <c r="A1" s="219">
        <f ca="1">TODAY()</f>
        <v>46121</v>
      </c>
      <c r="B1" s="220"/>
      <c r="C1" s="184" t="s">
        <v>0</v>
      </c>
      <c r="D1" s="184"/>
      <c r="E1" s="184"/>
      <c r="F1" s="184"/>
      <c r="G1" s="184"/>
      <c r="H1" s="183" t="s">
        <v>1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5"/>
      <c r="AL1" s="183" t="s">
        <v>2</v>
      </c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4"/>
      <c r="BI1" s="184"/>
      <c r="BJ1" s="184"/>
      <c r="BK1" s="184"/>
      <c r="BL1" s="184"/>
      <c r="BM1" s="184"/>
      <c r="BN1" s="184"/>
      <c r="BO1" s="184"/>
      <c r="BP1" s="185"/>
      <c r="BQ1" s="183" t="s">
        <v>3</v>
      </c>
      <c r="BR1" s="184"/>
      <c r="BS1" s="184"/>
      <c r="BT1" s="184"/>
      <c r="BU1" s="184"/>
      <c r="BV1" s="184"/>
      <c r="BW1" s="184"/>
      <c r="BX1" s="184"/>
      <c r="BY1" s="184"/>
      <c r="BZ1" s="184"/>
      <c r="CA1" s="184"/>
      <c r="CB1" s="184"/>
      <c r="CC1" s="184"/>
      <c r="CD1" s="184"/>
      <c r="CE1" s="184"/>
      <c r="CF1" s="184"/>
      <c r="CG1" s="184"/>
      <c r="CH1" s="184"/>
      <c r="CI1" s="184"/>
      <c r="CJ1" s="184"/>
      <c r="CK1" s="184"/>
      <c r="CL1" s="184"/>
      <c r="CM1" s="184"/>
      <c r="CN1" s="184"/>
      <c r="CO1" s="184"/>
      <c r="CP1" s="184"/>
      <c r="CQ1" s="184"/>
      <c r="CR1" s="184"/>
      <c r="CS1" s="184"/>
      <c r="CT1" s="184"/>
      <c r="CU1" s="183" t="s">
        <v>4</v>
      </c>
      <c r="CV1" s="184"/>
      <c r="CW1" s="184"/>
      <c r="CX1" s="184"/>
      <c r="CY1" s="184"/>
      <c r="CZ1" s="184"/>
      <c r="DA1" s="184"/>
      <c r="DB1" s="184"/>
      <c r="DC1" s="184"/>
      <c r="DD1" s="184"/>
      <c r="DE1" s="184"/>
      <c r="DF1" s="184"/>
      <c r="DG1" s="184"/>
      <c r="DH1" s="184"/>
      <c r="DI1" s="184"/>
      <c r="DJ1" s="184"/>
      <c r="DK1" s="184"/>
      <c r="DL1" s="184"/>
      <c r="DM1" s="184"/>
      <c r="DN1" s="184"/>
      <c r="DO1" s="184"/>
      <c r="DP1" s="184"/>
      <c r="DQ1" s="184"/>
      <c r="DR1" s="184"/>
      <c r="DS1" s="184"/>
      <c r="DT1" s="184"/>
      <c r="DU1" s="184"/>
      <c r="DV1" s="184"/>
      <c r="DW1" s="184"/>
      <c r="DX1" s="184"/>
      <c r="DY1" s="185"/>
      <c r="DZ1" s="183" t="s">
        <v>5</v>
      </c>
      <c r="EA1" s="184"/>
      <c r="EB1" s="184"/>
      <c r="EC1" s="184"/>
      <c r="ED1" s="184"/>
      <c r="EE1" s="184"/>
      <c r="EF1" s="184"/>
      <c r="EG1" s="184"/>
      <c r="EH1" s="184"/>
      <c r="EI1" s="184"/>
      <c r="EJ1" s="184"/>
      <c r="EK1" s="184"/>
      <c r="EL1" s="184"/>
      <c r="EM1" s="184"/>
      <c r="EN1" s="184"/>
      <c r="EO1" s="184"/>
      <c r="EP1" s="184"/>
      <c r="EQ1" s="184"/>
      <c r="ER1" s="184"/>
      <c r="ES1" s="184"/>
      <c r="ET1" s="184"/>
      <c r="EU1" s="184"/>
      <c r="EV1" s="184"/>
      <c r="EW1" s="184"/>
      <c r="EX1" s="184"/>
      <c r="EY1" s="184"/>
      <c r="EZ1" s="184"/>
      <c r="FA1" s="184"/>
      <c r="FB1" s="184"/>
      <c r="FC1" s="184"/>
      <c r="FD1" s="185"/>
      <c r="FE1" s="183" t="s">
        <v>6</v>
      </c>
      <c r="FF1" s="184"/>
      <c r="FG1" s="184"/>
      <c r="FH1" s="184"/>
      <c r="FI1" s="184"/>
      <c r="FJ1" s="184"/>
      <c r="FK1" s="184"/>
      <c r="FL1" s="184"/>
      <c r="FM1" s="184"/>
      <c r="FN1" s="184"/>
      <c r="FO1" s="184"/>
      <c r="FP1" s="184"/>
      <c r="FQ1" s="184"/>
      <c r="FR1" s="184"/>
      <c r="FS1" s="184"/>
      <c r="FT1" s="184"/>
      <c r="FU1" s="184"/>
      <c r="FV1" s="184"/>
      <c r="FW1" s="184"/>
      <c r="FX1" s="184"/>
      <c r="FY1" s="184"/>
      <c r="FZ1" s="184"/>
      <c r="GA1" s="184"/>
      <c r="GB1" s="184"/>
      <c r="GC1" s="184"/>
      <c r="GD1" s="184"/>
      <c r="GE1" s="184"/>
      <c r="GF1" s="184"/>
      <c r="GG1" s="184"/>
      <c r="GH1" s="185"/>
      <c r="GI1" s="183" t="s">
        <v>7</v>
      </c>
      <c r="GJ1" s="184"/>
      <c r="GK1" s="184"/>
      <c r="GL1" s="184"/>
      <c r="GM1" s="184"/>
      <c r="GN1" s="184"/>
      <c r="GO1" s="184"/>
      <c r="GP1" s="184"/>
      <c r="GQ1" s="184"/>
      <c r="GR1" s="184"/>
      <c r="GS1" s="184"/>
      <c r="GT1" s="184"/>
      <c r="GU1" s="184"/>
      <c r="GV1" s="184"/>
      <c r="GW1" s="184"/>
      <c r="GX1" s="184"/>
      <c r="GY1" s="184"/>
      <c r="GZ1" s="184"/>
      <c r="HA1" s="184"/>
      <c r="HB1" s="184"/>
      <c r="HC1" s="184"/>
      <c r="HD1" s="184"/>
      <c r="HE1" s="184"/>
      <c r="HF1" s="184"/>
      <c r="HG1" s="184"/>
      <c r="HH1" s="184"/>
      <c r="HI1" s="184"/>
      <c r="HJ1" s="184"/>
      <c r="HK1" s="184"/>
      <c r="HL1" s="184"/>
      <c r="HM1" s="185"/>
      <c r="HN1" s="183" t="s">
        <v>8</v>
      </c>
      <c r="HO1" s="184"/>
      <c r="HP1" s="184"/>
      <c r="HQ1" s="184"/>
      <c r="HR1" s="184"/>
      <c r="HS1" s="184"/>
      <c r="HT1" s="184"/>
      <c r="HU1" s="184"/>
      <c r="HV1" s="184"/>
      <c r="HW1" s="184"/>
      <c r="HX1" s="184"/>
      <c r="HY1" s="184"/>
      <c r="HZ1" s="184"/>
      <c r="IA1" s="184"/>
      <c r="IB1" s="184"/>
      <c r="IC1" s="184"/>
      <c r="ID1" s="184"/>
      <c r="IE1" s="184"/>
      <c r="IF1" s="184"/>
      <c r="IG1" s="184"/>
      <c r="IH1" s="184"/>
      <c r="II1" s="184"/>
      <c r="IJ1" s="184"/>
      <c r="IK1" s="184"/>
      <c r="IL1" s="184"/>
      <c r="IM1" s="184"/>
      <c r="IN1" s="184"/>
      <c r="IO1" s="184"/>
      <c r="IP1" s="184"/>
      <c r="IQ1" s="185"/>
      <c r="IR1" s="183" t="s">
        <v>9</v>
      </c>
      <c r="IS1" s="184"/>
      <c r="IT1" s="184"/>
      <c r="IU1" s="184"/>
      <c r="IV1" s="184"/>
      <c r="IW1" s="184"/>
      <c r="IX1" s="184"/>
      <c r="IY1" s="184"/>
      <c r="IZ1" s="184"/>
      <c r="JA1" s="184"/>
      <c r="JB1" s="184"/>
      <c r="JC1" s="184"/>
      <c r="JD1" s="184"/>
      <c r="JE1" s="184"/>
      <c r="JF1" s="184"/>
      <c r="JG1" s="184"/>
      <c r="JH1" s="184"/>
      <c r="JI1" s="184"/>
      <c r="JJ1" s="184"/>
      <c r="JK1" s="184"/>
      <c r="JL1" s="184"/>
      <c r="JM1" s="184"/>
      <c r="JN1" s="184"/>
      <c r="JO1" s="184"/>
      <c r="JP1" s="184"/>
      <c r="JQ1" s="184"/>
      <c r="JR1" s="184"/>
      <c r="JS1" s="184"/>
      <c r="JT1" s="184"/>
      <c r="JU1" s="184"/>
      <c r="JV1" s="185"/>
      <c r="JW1" s="178" t="s">
        <v>10</v>
      </c>
      <c r="JX1" s="179"/>
      <c r="JY1" s="179"/>
      <c r="JZ1" s="179"/>
      <c r="KA1" s="179"/>
      <c r="KB1" s="179"/>
      <c r="KC1" s="179"/>
      <c r="KD1" s="179"/>
      <c r="KE1" s="179"/>
      <c r="KF1" s="179"/>
      <c r="KG1" s="179"/>
      <c r="KH1" s="179"/>
      <c r="KI1" s="179"/>
      <c r="KJ1" s="179"/>
      <c r="KK1" s="179"/>
      <c r="KL1" s="179"/>
      <c r="KM1" s="179"/>
      <c r="KN1" s="179"/>
      <c r="KO1" s="179"/>
      <c r="KP1" s="179"/>
      <c r="KQ1" s="179"/>
      <c r="KR1" s="179"/>
      <c r="KS1" s="179"/>
      <c r="KT1" s="179"/>
      <c r="KU1" s="179"/>
      <c r="KV1" s="179"/>
      <c r="KW1" s="179"/>
      <c r="KX1" s="179"/>
      <c r="KY1" s="179"/>
      <c r="KZ1" s="179"/>
      <c r="LA1" s="180"/>
    </row>
    <row r="2" spans="1:336">
      <c r="A2" s="221"/>
      <c r="B2" s="222"/>
      <c r="C2" s="32">
        <v>45012</v>
      </c>
      <c r="D2" s="4">
        <v>45013</v>
      </c>
      <c r="E2" s="4">
        <v>45014</v>
      </c>
      <c r="F2" s="4">
        <v>45015</v>
      </c>
      <c r="G2" s="4">
        <v>45016</v>
      </c>
      <c r="H2" s="4">
        <v>45017</v>
      </c>
      <c r="I2" s="4">
        <v>45018</v>
      </c>
      <c r="J2" s="4">
        <v>45019</v>
      </c>
      <c r="K2" s="4">
        <v>45020</v>
      </c>
      <c r="L2" s="4">
        <v>45021</v>
      </c>
      <c r="M2" s="4">
        <v>45022</v>
      </c>
      <c r="N2" s="4">
        <v>45023</v>
      </c>
      <c r="O2" s="4">
        <v>45024</v>
      </c>
      <c r="P2" s="4">
        <v>45025</v>
      </c>
      <c r="Q2" s="4">
        <v>45026</v>
      </c>
      <c r="R2" s="4">
        <v>45027</v>
      </c>
      <c r="S2" s="4">
        <v>45028</v>
      </c>
      <c r="T2" s="4">
        <v>45029</v>
      </c>
      <c r="U2" s="4">
        <v>45030</v>
      </c>
      <c r="V2" s="4">
        <v>45031</v>
      </c>
      <c r="W2" s="4">
        <v>45032</v>
      </c>
      <c r="X2" s="4">
        <v>45033</v>
      </c>
      <c r="Y2" s="4">
        <v>45034</v>
      </c>
      <c r="Z2" s="4">
        <v>45035</v>
      </c>
      <c r="AA2" s="4">
        <v>45036</v>
      </c>
      <c r="AB2" s="4">
        <v>45037</v>
      </c>
      <c r="AC2" s="4">
        <v>45038</v>
      </c>
      <c r="AD2" s="4">
        <v>45039</v>
      </c>
      <c r="AE2" s="4">
        <v>45040</v>
      </c>
      <c r="AF2" s="4">
        <v>45041</v>
      </c>
      <c r="AG2" s="4">
        <v>45042</v>
      </c>
      <c r="AH2" s="4">
        <v>45043</v>
      </c>
      <c r="AI2" s="4">
        <v>45044</v>
      </c>
      <c r="AJ2" s="4">
        <v>45045</v>
      </c>
      <c r="AK2" s="4">
        <v>45046</v>
      </c>
      <c r="AL2" s="4">
        <v>45047</v>
      </c>
      <c r="AM2" s="4">
        <v>45048</v>
      </c>
      <c r="AN2" s="4">
        <v>45049</v>
      </c>
      <c r="AO2" s="4">
        <v>45050</v>
      </c>
      <c r="AP2" s="4">
        <v>45051</v>
      </c>
      <c r="AQ2" s="4">
        <v>45052</v>
      </c>
      <c r="AR2" s="4">
        <v>45053</v>
      </c>
      <c r="AS2" s="4">
        <v>45054</v>
      </c>
      <c r="AT2" s="4">
        <v>45055</v>
      </c>
      <c r="AU2" s="8">
        <v>45056</v>
      </c>
      <c r="AV2" s="4">
        <v>45057</v>
      </c>
      <c r="AW2" s="4">
        <v>45058</v>
      </c>
      <c r="AX2" s="4">
        <v>45059</v>
      </c>
      <c r="AY2" s="4">
        <v>45060</v>
      </c>
      <c r="AZ2" s="4">
        <v>45061</v>
      </c>
      <c r="BA2" s="4">
        <v>45062</v>
      </c>
      <c r="BB2" s="4">
        <v>45063</v>
      </c>
      <c r="BC2" s="4">
        <v>45064</v>
      </c>
      <c r="BD2" s="4">
        <v>45065</v>
      </c>
      <c r="BE2" s="4">
        <v>45066</v>
      </c>
      <c r="BF2" s="4">
        <v>45067</v>
      </c>
      <c r="BG2" s="4">
        <v>45068</v>
      </c>
      <c r="BH2" s="4">
        <v>45069</v>
      </c>
      <c r="BI2" s="4">
        <v>45070</v>
      </c>
      <c r="BJ2" s="4">
        <v>45071</v>
      </c>
      <c r="BK2" s="4">
        <v>45072</v>
      </c>
      <c r="BL2" s="4">
        <v>45073</v>
      </c>
      <c r="BM2" s="4">
        <v>45074</v>
      </c>
      <c r="BN2" s="4">
        <v>45075</v>
      </c>
      <c r="BO2" s="4">
        <v>45076</v>
      </c>
      <c r="BP2" s="4">
        <v>45077</v>
      </c>
      <c r="BQ2" s="1">
        <v>45078</v>
      </c>
      <c r="BR2" s="1">
        <v>45079</v>
      </c>
      <c r="BS2" s="1">
        <v>45080</v>
      </c>
      <c r="BT2" s="1">
        <v>45081</v>
      </c>
      <c r="BU2" s="1">
        <v>45082</v>
      </c>
      <c r="BV2" s="1">
        <v>45083</v>
      </c>
      <c r="BW2" s="1">
        <v>45084</v>
      </c>
      <c r="BX2" s="1">
        <v>45085</v>
      </c>
      <c r="BY2" s="1">
        <v>45086</v>
      </c>
      <c r="BZ2" s="1">
        <v>45087</v>
      </c>
      <c r="CA2" s="1">
        <v>45088</v>
      </c>
      <c r="CB2" s="1">
        <v>45089</v>
      </c>
      <c r="CC2" s="1">
        <v>45090</v>
      </c>
      <c r="CD2" s="1">
        <v>45091</v>
      </c>
      <c r="CE2" s="1">
        <v>45092</v>
      </c>
      <c r="CF2" s="1">
        <v>45093</v>
      </c>
      <c r="CG2" s="1">
        <v>45094</v>
      </c>
      <c r="CH2" s="1">
        <v>45095</v>
      </c>
      <c r="CI2" s="1">
        <v>45096</v>
      </c>
      <c r="CJ2" s="1">
        <v>45097</v>
      </c>
      <c r="CK2" s="1">
        <v>45098</v>
      </c>
      <c r="CL2" s="1">
        <v>45099</v>
      </c>
      <c r="CM2" s="1">
        <v>45100</v>
      </c>
      <c r="CN2" s="1">
        <v>45101</v>
      </c>
      <c r="CO2" s="1">
        <v>45102</v>
      </c>
      <c r="CP2" s="1">
        <v>45103</v>
      </c>
      <c r="CQ2" s="1">
        <v>45104</v>
      </c>
      <c r="CR2" s="1">
        <v>45105</v>
      </c>
      <c r="CS2" s="1">
        <v>45106</v>
      </c>
      <c r="CT2" s="1">
        <v>45107</v>
      </c>
      <c r="CU2" s="1">
        <v>45108</v>
      </c>
      <c r="CV2" s="1">
        <v>45109</v>
      </c>
      <c r="CW2" s="1">
        <v>45110</v>
      </c>
      <c r="CX2" s="1">
        <v>45111</v>
      </c>
      <c r="CY2" s="1">
        <v>45112</v>
      </c>
      <c r="CZ2" s="1">
        <v>45113</v>
      </c>
      <c r="DA2" s="1">
        <v>45114</v>
      </c>
      <c r="DB2" s="1">
        <v>45115</v>
      </c>
      <c r="DC2" s="1">
        <v>45116</v>
      </c>
      <c r="DD2" s="1">
        <v>45117</v>
      </c>
      <c r="DE2" s="1">
        <v>45118</v>
      </c>
      <c r="DF2" s="1">
        <v>45119</v>
      </c>
      <c r="DG2" s="1">
        <v>45120</v>
      </c>
      <c r="DH2" s="1">
        <v>45121</v>
      </c>
      <c r="DI2" s="1">
        <v>45122</v>
      </c>
      <c r="DJ2" s="1">
        <v>45123</v>
      </c>
      <c r="DK2" s="1">
        <v>45124</v>
      </c>
      <c r="DL2" s="1">
        <v>45125</v>
      </c>
      <c r="DM2" s="1">
        <v>45126</v>
      </c>
      <c r="DN2" s="1">
        <v>45127</v>
      </c>
      <c r="DO2" s="1">
        <v>45128</v>
      </c>
      <c r="DP2" s="1">
        <v>45129</v>
      </c>
      <c r="DQ2" s="1">
        <v>45130</v>
      </c>
      <c r="DR2" s="1">
        <v>45131</v>
      </c>
      <c r="DS2" s="1">
        <v>45132</v>
      </c>
      <c r="DT2" s="1">
        <v>45133</v>
      </c>
      <c r="DU2" s="1">
        <v>45134</v>
      </c>
      <c r="DV2" s="1">
        <v>45135</v>
      </c>
      <c r="DW2" s="1">
        <v>45136</v>
      </c>
      <c r="DX2" s="1">
        <v>45137</v>
      </c>
      <c r="DY2" s="1">
        <v>45138</v>
      </c>
      <c r="DZ2" s="1">
        <v>45139</v>
      </c>
      <c r="EA2" s="1">
        <v>45140</v>
      </c>
      <c r="EB2" s="1">
        <v>45141</v>
      </c>
      <c r="EC2" s="1">
        <v>45142</v>
      </c>
      <c r="ED2" s="1">
        <v>45143</v>
      </c>
      <c r="EE2" s="1">
        <v>45144</v>
      </c>
      <c r="EF2" s="1">
        <v>45145</v>
      </c>
      <c r="EG2" s="1">
        <v>45146</v>
      </c>
      <c r="EH2" s="15">
        <v>45147</v>
      </c>
      <c r="EI2" s="1">
        <v>45148</v>
      </c>
      <c r="EJ2" s="1">
        <v>45149</v>
      </c>
      <c r="EK2" s="1">
        <v>45150</v>
      </c>
      <c r="EL2" s="1">
        <v>45151</v>
      </c>
      <c r="EM2" s="1">
        <v>45152</v>
      </c>
      <c r="EN2" s="1">
        <v>45153</v>
      </c>
      <c r="EO2" s="1">
        <v>45154</v>
      </c>
      <c r="EP2" s="1">
        <v>45155</v>
      </c>
      <c r="EQ2" s="1">
        <v>45156</v>
      </c>
      <c r="ER2" s="1">
        <v>45157</v>
      </c>
      <c r="ES2" s="1">
        <v>45158</v>
      </c>
      <c r="ET2" s="1">
        <v>45159</v>
      </c>
      <c r="EU2" s="1">
        <v>45160</v>
      </c>
      <c r="EV2" s="1">
        <v>45161</v>
      </c>
      <c r="EW2" s="1">
        <v>45162</v>
      </c>
      <c r="EX2" s="1">
        <v>45163</v>
      </c>
      <c r="EY2" s="1">
        <v>45164</v>
      </c>
      <c r="EZ2" s="1">
        <v>45165</v>
      </c>
      <c r="FA2" s="1">
        <v>45166</v>
      </c>
      <c r="FB2" s="1">
        <v>45167</v>
      </c>
      <c r="FC2" s="1">
        <v>45168</v>
      </c>
      <c r="FD2" s="1">
        <v>45169</v>
      </c>
      <c r="FE2" s="1">
        <v>45170</v>
      </c>
      <c r="FF2" s="1">
        <v>45171</v>
      </c>
      <c r="FG2" s="1">
        <v>45172</v>
      </c>
      <c r="FH2" s="1">
        <v>45173</v>
      </c>
      <c r="FI2" s="1">
        <v>45174</v>
      </c>
      <c r="FJ2" s="1">
        <v>45175</v>
      </c>
      <c r="FK2" s="1">
        <v>45176</v>
      </c>
      <c r="FL2" s="1">
        <v>45177</v>
      </c>
      <c r="FM2" s="1">
        <v>45178</v>
      </c>
      <c r="FN2" s="1">
        <v>45179</v>
      </c>
      <c r="FO2" s="1">
        <v>45180</v>
      </c>
      <c r="FP2" s="1">
        <v>45181</v>
      </c>
      <c r="FQ2" s="1">
        <v>45182</v>
      </c>
      <c r="FR2" s="1">
        <v>45183</v>
      </c>
      <c r="FS2" s="1">
        <v>45184</v>
      </c>
      <c r="FT2" s="1">
        <v>45185</v>
      </c>
      <c r="FU2" s="1">
        <v>45186</v>
      </c>
      <c r="FV2" s="1">
        <v>45187</v>
      </c>
      <c r="FW2" s="1">
        <v>45188</v>
      </c>
      <c r="FX2" s="1">
        <v>45189</v>
      </c>
      <c r="FY2" s="1">
        <v>45190</v>
      </c>
      <c r="FZ2" s="1">
        <v>45191</v>
      </c>
      <c r="GA2" s="1">
        <v>45192</v>
      </c>
      <c r="GB2" s="1">
        <v>45193</v>
      </c>
      <c r="GC2" s="1">
        <v>45194</v>
      </c>
      <c r="GD2" s="1">
        <v>45195</v>
      </c>
      <c r="GE2" s="1">
        <v>45196</v>
      </c>
      <c r="GF2" s="1">
        <v>45197</v>
      </c>
      <c r="GG2" s="1">
        <v>45198</v>
      </c>
      <c r="GH2" s="1">
        <v>45199</v>
      </c>
      <c r="GI2" s="1">
        <v>45200</v>
      </c>
      <c r="GJ2" s="1">
        <v>45201</v>
      </c>
      <c r="GK2" s="1">
        <v>45202</v>
      </c>
      <c r="GL2" s="1">
        <v>45203</v>
      </c>
      <c r="GM2" s="1">
        <v>45204</v>
      </c>
      <c r="GN2" s="1">
        <v>45205</v>
      </c>
      <c r="GO2" s="1">
        <v>45206</v>
      </c>
      <c r="GP2" s="1">
        <v>45207</v>
      </c>
      <c r="GQ2" s="1">
        <v>45208</v>
      </c>
      <c r="GR2" s="1">
        <v>45209</v>
      </c>
      <c r="GS2" s="1">
        <v>45210</v>
      </c>
      <c r="GT2" s="1">
        <v>45211</v>
      </c>
      <c r="GU2" s="1">
        <v>45212</v>
      </c>
      <c r="GV2" s="1">
        <v>45213</v>
      </c>
      <c r="GW2" s="1">
        <v>45214</v>
      </c>
      <c r="GX2" s="1">
        <v>45215</v>
      </c>
      <c r="GY2" s="1">
        <v>45216</v>
      </c>
      <c r="GZ2" s="1">
        <v>45217</v>
      </c>
      <c r="HA2" s="1">
        <v>45218</v>
      </c>
      <c r="HB2" s="1">
        <v>45219</v>
      </c>
      <c r="HC2" s="1">
        <v>45220</v>
      </c>
      <c r="HD2" s="1">
        <v>45221</v>
      </c>
      <c r="HE2" s="1">
        <v>45222</v>
      </c>
      <c r="HF2" s="1">
        <v>45223</v>
      </c>
      <c r="HG2" s="1">
        <v>45224</v>
      </c>
      <c r="HH2" s="1">
        <v>45225</v>
      </c>
      <c r="HI2" s="1">
        <v>45226</v>
      </c>
      <c r="HJ2" s="1">
        <v>45227</v>
      </c>
      <c r="HK2" s="1">
        <v>45228</v>
      </c>
      <c r="HL2" s="1">
        <v>45229</v>
      </c>
      <c r="HM2" s="1">
        <v>45230</v>
      </c>
      <c r="HN2" s="1">
        <v>45231</v>
      </c>
      <c r="HO2" s="1">
        <v>45232</v>
      </c>
      <c r="HP2" s="1">
        <v>45233</v>
      </c>
      <c r="HQ2" s="1">
        <v>45234</v>
      </c>
      <c r="HR2" s="1">
        <v>45235</v>
      </c>
      <c r="HS2" s="1">
        <v>45236</v>
      </c>
      <c r="HT2" s="1">
        <v>45237</v>
      </c>
      <c r="HU2" s="1">
        <v>45238</v>
      </c>
      <c r="HV2" s="1">
        <v>45239</v>
      </c>
      <c r="HW2" s="1">
        <v>45240</v>
      </c>
      <c r="HX2" s="1">
        <v>45241</v>
      </c>
      <c r="HY2" s="1">
        <v>45242</v>
      </c>
      <c r="HZ2" s="15">
        <v>45243</v>
      </c>
      <c r="IA2" s="1">
        <v>45244</v>
      </c>
      <c r="IB2" s="1">
        <v>45245</v>
      </c>
      <c r="IC2" s="1">
        <v>45246</v>
      </c>
      <c r="ID2" s="1">
        <v>45247</v>
      </c>
      <c r="IE2" s="1">
        <v>45248</v>
      </c>
      <c r="IF2" s="1">
        <v>45249</v>
      </c>
      <c r="IG2" s="1">
        <v>45250</v>
      </c>
      <c r="IH2" s="1">
        <v>45251</v>
      </c>
      <c r="II2" s="1">
        <v>45252</v>
      </c>
      <c r="IJ2" s="1">
        <v>45253</v>
      </c>
      <c r="IK2" s="1">
        <v>45254</v>
      </c>
      <c r="IL2" s="1">
        <v>45255</v>
      </c>
      <c r="IM2" s="1">
        <v>45256</v>
      </c>
      <c r="IN2" s="1">
        <v>45257</v>
      </c>
      <c r="IO2" s="1">
        <v>45258</v>
      </c>
      <c r="IP2" s="1">
        <v>45259</v>
      </c>
      <c r="IQ2" s="1">
        <v>45260</v>
      </c>
      <c r="IR2" s="1">
        <v>45261</v>
      </c>
      <c r="IS2" s="1">
        <v>45262</v>
      </c>
      <c r="IT2" s="1">
        <v>45263</v>
      </c>
      <c r="IU2" s="1">
        <v>45264</v>
      </c>
      <c r="IV2" s="1">
        <v>45265</v>
      </c>
      <c r="IW2" s="1">
        <v>45266</v>
      </c>
      <c r="IX2" s="1">
        <v>45267</v>
      </c>
      <c r="IY2" s="1">
        <v>45268</v>
      </c>
      <c r="IZ2" s="1">
        <v>45269</v>
      </c>
      <c r="JA2" s="1">
        <v>45270</v>
      </c>
      <c r="JB2" s="1">
        <v>45271</v>
      </c>
      <c r="JC2" s="1">
        <v>45272</v>
      </c>
      <c r="JD2" s="1">
        <v>45273</v>
      </c>
      <c r="JE2" s="1">
        <v>45274</v>
      </c>
      <c r="JF2" s="1">
        <v>45275</v>
      </c>
      <c r="JG2" s="1">
        <v>45276</v>
      </c>
      <c r="JH2" s="1">
        <v>45277</v>
      </c>
      <c r="JI2" s="1">
        <v>45278</v>
      </c>
      <c r="JJ2" s="1">
        <v>45279</v>
      </c>
      <c r="JK2" s="1">
        <v>45280</v>
      </c>
      <c r="JL2" s="1">
        <v>45281</v>
      </c>
      <c r="JM2" s="1">
        <v>45282</v>
      </c>
      <c r="JN2" s="1">
        <v>45283</v>
      </c>
      <c r="JO2" s="1">
        <v>45284</v>
      </c>
      <c r="JP2" s="1">
        <v>45285</v>
      </c>
      <c r="JQ2" s="1">
        <v>45286</v>
      </c>
      <c r="JR2" s="1">
        <v>45287</v>
      </c>
      <c r="JS2" s="1">
        <v>45288</v>
      </c>
      <c r="JT2" s="1">
        <v>45289</v>
      </c>
      <c r="JU2" s="1">
        <v>45290</v>
      </c>
      <c r="JV2" s="1">
        <v>45291</v>
      </c>
      <c r="JW2" s="1">
        <v>45292</v>
      </c>
      <c r="JX2" s="1">
        <v>45293</v>
      </c>
      <c r="JY2" s="1">
        <v>45294</v>
      </c>
      <c r="JZ2" s="1">
        <v>45295</v>
      </c>
      <c r="KA2" s="1">
        <v>45296</v>
      </c>
      <c r="KB2" s="1">
        <v>45297</v>
      </c>
      <c r="KC2" s="1">
        <v>45298</v>
      </c>
      <c r="KD2" s="1">
        <v>45299</v>
      </c>
      <c r="KE2" s="1">
        <v>45300</v>
      </c>
      <c r="KF2" s="1">
        <v>45301</v>
      </c>
      <c r="KG2" s="1">
        <v>45302</v>
      </c>
      <c r="KH2" s="1">
        <v>45303</v>
      </c>
      <c r="KI2" s="1">
        <v>45304</v>
      </c>
      <c r="KJ2" s="1">
        <v>45305</v>
      </c>
      <c r="KK2" s="1">
        <v>45306</v>
      </c>
      <c r="KL2" s="1">
        <v>45307</v>
      </c>
      <c r="KM2" s="1">
        <v>45308</v>
      </c>
      <c r="KN2" s="1">
        <v>45309</v>
      </c>
      <c r="KO2" s="1">
        <v>45310</v>
      </c>
      <c r="KP2" s="1">
        <v>45311</v>
      </c>
      <c r="KQ2" s="1">
        <v>45312</v>
      </c>
      <c r="KR2" s="1">
        <v>45313</v>
      </c>
      <c r="KS2" s="1">
        <v>45314</v>
      </c>
      <c r="KT2" s="1">
        <v>45315</v>
      </c>
      <c r="KU2" s="1">
        <v>45316</v>
      </c>
      <c r="KV2" s="1">
        <v>45317</v>
      </c>
      <c r="KW2" s="1">
        <v>45318</v>
      </c>
      <c r="KX2" s="1">
        <v>45319</v>
      </c>
      <c r="KY2" s="1">
        <v>45320</v>
      </c>
      <c r="KZ2" s="1">
        <v>45290</v>
      </c>
      <c r="LA2" s="1">
        <v>45291</v>
      </c>
      <c r="LB2" s="1">
        <v>45323</v>
      </c>
      <c r="LC2" s="1">
        <v>45324</v>
      </c>
      <c r="LD2" s="1">
        <v>45325</v>
      </c>
      <c r="LE2" s="1">
        <v>45326</v>
      </c>
      <c r="LF2" s="1">
        <v>45327</v>
      </c>
      <c r="LG2" s="1">
        <v>45328</v>
      </c>
      <c r="LH2" s="1">
        <v>45329</v>
      </c>
      <c r="LI2" s="1">
        <v>45330</v>
      </c>
      <c r="LJ2" s="1">
        <v>45331</v>
      </c>
      <c r="LK2" s="54">
        <v>45332</v>
      </c>
      <c r="LL2" s="1">
        <v>45333</v>
      </c>
      <c r="LM2" s="1">
        <v>45334</v>
      </c>
      <c r="LN2" s="1">
        <v>45335</v>
      </c>
      <c r="LO2" s="1">
        <v>45336</v>
      </c>
      <c r="LP2" s="1">
        <v>45337</v>
      </c>
      <c r="LQ2" s="1">
        <v>45338</v>
      </c>
      <c r="LR2" s="1">
        <v>45339</v>
      </c>
      <c r="LS2" s="1">
        <v>45340</v>
      </c>
      <c r="LT2" s="1">
        <v>45341</v>
      </c>
      <c r="LU2" s="1">
        <v>45342</v>
      </c>
      <c r="LV2" s="1">
        <v>45343</v>
      </c>
      <c r="LW2" s="1">
        <v>45344</v>
      </c>
      <c r="LX2" s="1">
        <v>45345</v>
      </c>
    </row>
    <row r="3" spans="1:336">
      <c r="A3" s="223"/>
      <c r="B3" s="224"/>
      <c r="C3" s="3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 t="s">
        <v>11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 t="s">
        <v>11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3">
        <v>7</v>
      </c>
      <c r="W3" s="3" t="s">
        <v>11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3">
        <v>7</v>
      </c>
      <c r="AD3" s="3" t="s">
        <v>11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3">
        <v>7</v>
      </c>
      <c r="AK3" s="3" t="s">
        <v>11</v>
      </c>
      <c r="AL3" s="3">
        <v>2</v>
      </c>
      <c r="AM3" s="3">
        <v>3</v>
      </c>
      <c r="AN3" s="3">
        <v>4</v>
      </c>
      <c r="AO3" s="3">
        <v>5</v>
      </c>
      <c r="AP3" s="3">
        <v>6</v>
      </c>
      <c r="AQ3" s="3">
        <v>7</v>
      </c>
      <c r="AR3" s="3" t="s">
        <v>11</v>
      </c>
      <c r="AS3" s="3">
        <v>2</v>
      </c>
      <c r="AT3" s="3">
        <v>3</v>
      </c>
      <c r="AU3" s="3">
        <v>4</v>
      </c>
      <c r="AV3" s="3">
        <v>5</v>
      </c>
      <c r="AW3" s="3">
        <v>6</v>
      </c>
      <c r="AX3" s="3">
        <v>7</v>
      </c>
      <c r="AY3" s="3" t="s">
        <v>11</v>
      </c>
      <c r="AZ3" s="3">
        <v>2</v>
      </c>
      <c r="BA3" s="3">
        <v>3</v>
      </c>
      <c r="BB3" s="3">
        <v>4</v>
      </c>
      <c r="BC3" s="3">
        <v>5</v>
      </c>
      <c r="BD3" s="3">
        <v>6</v>
      </c>
      <c r="BE3" s="3">
        <v>7</v>
      </c>
      <c r="BF3" s="3" t="s">
        <v>11</v>
      </c>
      <c r="BG3" s="3">
        <v>2</v>
      </c>
      <c r="BH3" s="3">
        <v>3</v>
      </c>
      <c r="BI3" s="3">
        <v>4</v>
      </c>
      <c r="BJ3" s="3">
        <v>5</v>
      </c>
      <c r="BK3" s="3">
        <v>6</v>
      </c>
      <c r="BL3" s="3">
        <v>7</v>
      </c>
      <c r="BM3" s="3" t="s">
        <v>11</v>
      </c>
      <c r="BN3" s="3">
        <v>2</v>
      </c>
      <c r="BO3" s="3">
        <v>3</v>
      </c>
      <c r="BP3" s="3">
        <v>4</v>
      </c>
      <c r="BQ3" s="3">
        <v>5</v>
      </c>
      <c r="BR3" s="3">
        <v>6</v>
      </c>
      <c r="BS3" s="3">
        <v>7</v>
      </c>
      <c r="BT3" s="3" t="s">
        <v>11</v>
      </c>
      <c r="BU3" s="3">
        <v>2</v>
      </c>
      <c r="BV3" s="3">
        <v>3</v>
      </c>
      <c r="BW3" s="3">
        <v>4</v>
      </c>
      <c r="BX3" s="3">
        <v>5</v>
      </c>
      <c r="BY3" s="3">
        <v>6</v>
      </c>
      <c r="BZ3" s="3">
        <v>7</v>
      </c>
      <c r="CA3" s="3" t="s">
        <v>11</v>
      </c>
      <c r="CB3" s="3">
        <v>2</v>
      </c>
      <c r="CC3" s="3">
        <v>3</v>
      </c>
      <c r="CD3" s="3">
        <v>4</v>
      </c>
      <c r="CE3" s="3">
        <v>5</v>
      </c>
      <c r="CF3" s="3">
        <v>6</v>
      </c>
      <c r="CG3" s="3">
        <v>7</v>
      </c>
      <c r="CH3" s="3" t="s">
        <v>11</v>
      </c>
      <c r="CI3" s="3">
        <v>2</v>
      </c>
      <c r="CJ3" s="3">
        <v>3</v>
      </c>
      <c r="CK3" s="3">
        <v>4</v>
      </c>
      <c r="CL3" s="3">
        <v>5</v>
      </c>
      <c r="CM3" s="3">
        <v>6</v>
      </c>
      <c r="CN3" s="3">
        <v>7</v>
      </c>
      <c r="CO3" s="3" t="s">
        <v>11</v>
      </c>
      <c r="CP3" s="3">
        <v>2</v>
      </c>
      <c r="CQ3" s="3">
        <v>3</v>
      </c>
      <c r="CR3" s="3">
        <v>4</v>
      </c>
      <c r="CS3" s="3">
        <v>5</v>
      </c>
      <c r="CT3" s="3">
        <v>6</v>
      </c>
      <c r="CU3" s="3">
        <v>7</v>
      </c>
      <c r="CV3" s="3" t="s">
        <v>11</v>
      </c>
      <c r="CW3" s="3">
        <v>2</v>
      </c>
      <c r="CX3" s="3">
        <v>3</v>
      </c>
      <c r="CY3" s="3">
        <v>4</v>
      </c>
      <c r="CZ3" s="3">
        <v>5</v>
      </c>
      <c r="DA3" s="3">
        <v>6</v>
      </c>
      <c r="DB3" s="3">
        <v>7</v>
      </c>
      <c r="DC3" s="3" t="s">
        <v>11</v>
      </c>
      <c r="DD3" s="3">
        <v>2</v>
      </c>
      <c r="DE3" s="3">
        <v>3</v>
      </c>
      <c r="DF3" s="3">
        <v>4</v>
      </c>
      <c r="DG3" s="3">
        <v>5</v>
      </c>
      <c r="DH3" s="3">
        <v>6</v>
      </c>
      <c r="DI3" s="3">
        <v>7</v>
      </c>
      <c r="DJ3" s="3" t="s">
        <v>11</v>
      </c>
      <c r="DK3" s="3">
        <v>2</v>
      </c>
      <c r="DL3" s="3">
        <v>3</v>
      </c>
      <c r="DM3" s="3">
        <v>4</v>
      </c>
      <c r="DN3" s="3">
        <v>5</v>
      </c>
      <c r="DO3" s="3">
        <v>6</v>
      </c>
      <c r="DP3" s="3">
        <v>7</v>
      </c>
      <c r="DQ3" s="3" t="s">
        <v>11</v>
      </c>
      <c r="DR3" s="3">
        <v>2</v>
      </c>
      <c r="DS3" s="3">
        <v>3</v>
      </c>
      <c r="DT3" s="3">
        <v>4</v>
      </c>
      <c r="DU3" s="3">
        <v>5</v>
      </c>
      <c r="DV3" s="3">
        <v>6</v>
      </c>
      <c r="DW3" s="3">
        <v>7</v>
      </c>
      <c r="DX3" s="3" t="s">
        <v>11</v>
      </c>
      <c r="DY3" s="3">
        <v>2</v>
      </c>
      <c r="DZ3" s="3">
        <v>3</v>
      </c>
      <c r="EA3" s="3">
        <v>4</v>
      </c>
      <c r="EB3" s="3">
        <v>5</v>
      </c>
      <c r="EC3" s="3">
        <v>6</v>
      </c>
      <c r="ED3" s="3">
        <v>7</v>
      </c>
      <c r="EE3" s="3" t="s">
        <v>11</v>
      </c>
      <c r="EF3" s="3">
        <v>2</v>
      </c>
      <c r="EG3" s="3">
        <v>3</v>
      </c>
      <c r="EH3" s="3">
        <v>4</v>
      </c>
      <c r="EI3" s="3">
        <v>5</v>
      </c>
      <c r="EJ3" s="3">
        <v>6</v>
      </c>
      <c r="EK3" s="3">
        <v>7</v>
      </c>
      <c r="EL3" s="3" t="s">
        <v>11</v>
      </c>
      <c r="EM3" s="3">
        <v>2</v>
      </c>
      <c r="EN3" s="3">
        <v>3</v>
      </c>
      <c r="EO3" s="3">
        <v>4</v>
      </c>
      <c r="EP3" s="3">
        <v>5</v>
      </c>
      <c r="EQ3" s="3">
        <v>6</v>
      </c>
      <c r="ER3" s="3">
        <v>7</v>
      </c>
      <c r="ES3" s="3" t="s">
        <v>11</v>
      </c>
      <c r="ET3" s="3">
        <v>2</v>
      </c>
      <c r="EU3" s="3">
        <v>3</v>
      </c>
      <c r="EV3" s="3">
        <v>4</v>
      </c>
      <c r="EW3" s="3">
        <v>5</v>
      </c>
      <c r="EX3" s="3">
        <v>6</v>
      </c>
      <c r="EY3" s="3">
        <v>7</v>
      </c>
      <c r="EZ3" s="3" t="s">
        <v>11</v>
      </c>
      <c r="FA3" s="3">
        <v>2</v>
      </c>
      <c r="FB3" s="3">
        <v>3</v>
      </c>
      <c r="FC3" s="3">
        <v>4</v>
      </c>
      <c r="FD3" s="3">
        <v>5</v>
      </c>
      <c r="FE3" s="3">
        <v>6</v>
      </c>
      <c r="FF3" s="3">
        <v>7</v>
      </c>
      <c r="FG3" s="3" t="s">
        <v>11</v>
      </c>
      <c r="FH3" s="3">
        <v>2</v>
      </c>
      <c r="FI3" s="3">
        <v>3</v>
      </c>
      <c r="FJ3" s="3">
        <v>4</v>
      </c>
      <c r="FK3" s="3">
        <v>5</v>
      </c>
      <c r="FL3" s="3">
        <v>6</v>
      </c>
      <c r="FM3" s="3">
        <v>7</v>
      </c>
      <c r="FN3" s="3" t="s">
        <v>11</v>
      </c>
      <c r="FO3" s="3">
        <v>2</v>
      </c>
      <c r="FP3" s="3">
        <v>3</v>
      </c>
      <c r="FQ3" s="3">
        <v>4</v>
      </c>
      <c r="FR3" s="3">
        <v>5</v>
      </c>
      <c r="FS3" s="3">
        <v>6</v>
      </c>
      <c r="FT3" s="3">
        <v>7</v>
      </c>
      <c r="FU3" s="3" t="s">
        <v>11</v>
      </c>
      <c r="FV3" s="3">
        <v>2</v>
      </c>
      <c r="FW3" s="3">
        <v>3</v>
      </c>
      <c r="FX3" s="3">
        <v>4</v>
      </c>
      <c r="FY3" s="3">
        <v>5</v>
      </c>
      <c r="FZ3" s="3">
        <v>6</v>
      </c>
      <c r="GA3" s="3">
        <v>7</v>
      </c>
      <c r="GB3" s="3" t="s">
        <v>11</v>
      </c>
      <c r="GC3" s="3">
        <v>2</v>
      </c>
      <c r="GD3" s="3">
        <v>3</v>
      </c>
      <c r="GE3" s="3">
        <v>4</v>
      </c>
      <c r="GF3" s="3">
        <v>5</v>
      </c>
      <c r="GG3" s="3">
        <v>6</v>
      </c>
      <c r="GH3" s="3">
        <v>7</v>
      </c>
      <c r="GI3" s="3" t="s">
        <v>11</v>
      </c>
      <c r="GJ3" s="3">
        <v>2</v>
      </c>
      <c r="GK3" s="3">
        <v>3</v>
      </c>
      <c r="GL3" s="3">
        <v>4</v>
      </c>
      <c r="GM3" s="3">
        <v>5</v>
      </c>
      <c r="GN3" s="3">
        <v>6</v>
      </c>
      <c r="GO3" s="3">
        <v>7</v>
      </c>
      <c r="GP3" s="3" t="s">
        <v>11</v>
      </c>
      <c r="GQ3" s="3">
        <v>2</v>
      </c>
      <c r="GR3" s="3">
        <v>3</v>
      </c>
      <c r="GS3" s="3">
        <v>4</v>
      </c>
      <c r="GT3" s="3">
        <v>5</v>
      </c>
      <c r="GU3" s="3">
        <v>6</v>
      </c>
      <c r="GV3" s="3">
        <v>7</v>
      </c>
      <c r="GW3" s="3" t="s">
        <v>11</v>
      </c>
      <c r="GX3" s="3">
        <v>2</v>
      </c>
      <c r="GY3" s="3">
        <v>3</v>
      </c>
      <c r="GZ3" s="3">
        <v>4</v>
      </c>
      <c r="HA3" s="3">
        <v>5</v>
      </c>
      <c r="HB3" s="3">
        <v>6</v>
      </c>
      <c r="HC3" s="3">
        <v>7</v>
      </c>
      <c r="HD3" s="3" t="s">
        <v>11</v>
      </c>
      <c r="HE3" s="3">
        <v>2</v>
      </c>
      <c r="HF3" s="3">
        <v>3</v>
      </c>
      <c r="HG3" s="3">
        <v>4</v>
      </c>
      <c r="HH3" s="3">
        <v>5</v>
      </c>
      <c r="HI3" s="3">
        <v>6</v>
      </c>
      <c r="HJ3" s="3">
        <v>7</v>
      </c>
      <c r="HK3" s="3" t="s">
        <v>11</v>
      </c>
      <c r="HL3" s="3">
        <v>2</v>
      </c>
      <c r="HM3" s="3">
        <v>3</v>
      </c>
      <c r="HN3" s="3">
        <v>4</v>
      </c>
      <c r="HO3" s="3">
        <v>5</v>
      </c>
      <c r="HP3" s="3">
        <v>6</v>
      </c>
      <c r="HQ3" s="3">
        <v>7</v>
      </c>
      <c r="HR3" s="3" t="s">
        <v>11</v>
      </c>
      <c r="HS3" s="3">
        <v>2</v>
      </c>
      <c r="HT3" s="3">
        <v>3</v>
      </c>
      <c r="HU3" s="3">
        <v>4</v>
      </c>
      <c r="HV3" s="3">
        <v>5</v>
      </c>
      <c r="HW3" s="3">
        <v>6</v>
      </c>
      <c r="HX3" s="3">
        <v>7</v>
      </c>
      <c r="HY3" s="3" t="s">
        <v>11</v>
      </c>
      <c r="HZ3" s="3">
        <v>2</v>
      </c>
      <c r="IA3" s="3">
        <v>3</v>
      </c>
      <c r="IB3" s="3">
        <v>4</v>
      </c>
      <c r="IC3" s="3">
        <v>5</v>
      </c>
      <c r="ID3" s="3">
        <v>6</v>
      </c>
      <c r="IE3" s="3">
        <v>7</v>
      </c>
      <c r="IF3" s="3" t="s">
        <v>11</v>
      </c>
      <c r="IG3" s="3">
        <v>2</v>
      </c>
      <c r="IH3" s="3">
        <v>3</v>
      </c>
      <c r="II3" s="3">
        <v>4</v>
      </c>
      <c r="IJ3" s="3">
        <v>5</v>
      </c>
      <c r="IK3" s="3">
        <v>6</v>
      </c>
      <c r="IL3" s="3">
        <v>7</v>
      </c>
      <c r="IM3" s="3" t="s">
        <v>11</v>
      </c>
      <c r="IN3" s="3">
        <v>2</v>
      </c>
      <c r="IO3" s="3">
        <v>3</v>
      </c>
      <c r="IP3" s="3">
        <v>4</v>
      </c>
      <c r="IQ3" s="3">
        <v>5</v>
      </c>
      <c r="IR3" s="3">
        <v>6</v>
      </c>
      <c r="IS3" s="3">
        <v>7</v>
      </c>
      <c r="IT3" s="3" t="s">
        <v>11</v>
      </c>
      <c r="IU3" s="3">
        <v>2</v>
      </c>
      <c r="IV3" s="3">
        <v>3</v>
      </c>
      <c r="IW3" s="3">
        <v>4</v>
      </c>
      <c r="IX3" s="3">
        <v>5</v>
      </c>
      <c r="IY3" s="3">
        <v>6</v>
      </c>
      <c r="IZ3" s="3">
        <v>7</v>
      </c>
      <c r="JA3" s="3" t="s">
        <v>11</v>
      </c>
      <c r="JB3" s="3">
        <v>2</v>
      </c>
      <c r="JC3" s="3">
        <v>3</v>
      </c>
      <c r="JD3" s="3">
        <v>4</v>
      </c>
      <c r="JE3" s="3">
        <v>5</v>
      </c>
      <c r="JF3" s="3">
        <v>6</v>
      </c>
      <c r="JG3" s="3">
        <v>7</v>
      </c>
      <c r="JH3" s="3" t="s">
        <v>11</v>
      </c>
      <c r="JI3" s="3">
        <v>2</v>
      </c>
      <c r="JJ3" s="3">
        <v>3</v>
      </c>
      <c r="JK3" s="3">
        <v>4</v>
      </c>
      <c r="JL3" s="3">
        <v>5</v>
      </c>
      <c r="JM3" s="3">
        <v>6</v>
      </c>
      <c r="JN3" s="3">
        <v>7</v>
      </c>
      <c r="JO3" s="3" t="s">
        <v>11</v>
      </c>
      <c r="JP3" s="3">
        <v>2</v>
      </c>
      <c r="JQ3" s="3">
        <v>3</v>
      </c>
      <c r="JR3" s="3">
        <v>4</v>
      </c>
      <c r="JS3" s="3">
        <v>5</v>
      </c>
      <c r="JT3" s="3">
        <v>6</v>
      </c>
      <c r="JU3" s="3">
        <v>7</v>
      </c>
      <c r="JV3" s="3" t="s">
        <v>11</v>
      </c>
      <c r="JW3" s="3">
        <v>2</v>
      </c>
      <c r="JX3" s="3">
        <v>3</v>
      </c>
      <c r="JY3" s="3">
        <v>4</v>
      </c>
      <c r="JZ3" s="3">
        <v>5</v>
      </c>
      <c r="KA3" s="3">
        <v>6</v>
      </c>
      <c r="KB3" s="3">
        <v>7</v>
      </c>
      <c r="KC3" s="3" t="s">
        <v>11</v>
      </c>
      <c r="KD3" s="3">
        <v>2</v>
      </c>
      <c r="KE3" s="3">
        <v>3</v>
      </c>
      <c r="KF3" s="3">
        <v>4</v>
      </c>
      <c r="KG3" s="3">
        <v>5</v>
      </c>
      <c r="KH3" s="3">
        <v>6</v>
      </c>
      <c r="KI3" s="3">
        <v>7</v>
      </c>
      <c r="KJ3" s="3" t="s">
        <v>11</v>
      </c>
      <c r="KK3" s="3">
        <v>2</v>
      </c>
      <c r="KL3" s="3">
        <v>3</v>
      </c>
      <c r="KM3" s="3">
        <v>4</v>
      </c>
      <c r="KN3" s="3">
        <v>5</v>
      </c>
      <c r="KO3" s="3">
        <v>6</v>
      </c>
      <c r="KP3" s="3">
        <v>7</v>
      </c>
      <c r="KQ3" s="3" t="s">
        <v>11</v>
      </c>
      <c r="KR3" s="3">
        <v>2</v>
      </c>
      <c r="KS3" s="3">
        <v>3</v>
      </c>
      <c r="KT3" s="3">
        <v>4</v>
      </c>
      <c r="KU3" s="3">
        <v>5</v>
      </c>
      <c r="KV3" s="3">
        <v>6</v>
      </c>
      <c r="KW3" s="3">
        <v>7</v>
      </c>
      <c r="KX3" s="3" t="s">
        <v>11</v>
      </c>
      <c r="KY3" s="3">
        <v>2</v>
      </c>
      <c r="KZ3" s="3">
        <v>3</v>
      </c>
      <c r="LA3" s="3">
        <v>4</v>
      </c>
      <c r="LB3" s="3">
        <v>5</v>
      </c>
      <c r="LC3" s="3">
        <v>6</v>
      </c>
      <c r="LD3" s="3">
        <v>7</v>
      </c>
      <c r="LE3" s="3" t="s">
        <v>11</v>
      </c>
      <c r="LF3" s="3">
        <v>2</v>
      </c>
      <c r="LG3" s="3">
        <v>3</v>
      </c>
      <c r="LH3" s="3">
        <v>4</v>
      </c>
      <c r="LI3" s="3">
        <v>5</v>
      </c>
      <c r="LJ3" s="3">
        <v>6</v>
      </c>
      <c r="LK3" s="3">
        <v>7</v>
      </c>
      <c r="LL3" s="3" t="s">
        <v>11</v>
      </c>
      <c r="LM3" s="3">
        <v>2</v>
      </c>
      <c r="LN3" s="3">
        <v>3</v>
      </c>
      <c r="LO3" s="3">
        <v>4</v>
      </c>
    </row>
    <row r="4" spans="1:336" ht="15" customHeight="1">
      <c r="A4" s="225" t="s">
        <v>12</v>
      </c>
      <c r="B4" s="18">
        <v>1</v>
      </c>
      <c r="C4" s="187" t="s">
        <v>13</v>
      </c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81" t="s">
        <v>14</v>
      </c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6"/>
      <c r="AT4" s="19"/>
      <c r="AU4" s="187" t="s">
        <v>15</v>
      </c>
      <c r="AV4" s="188"/>
      <c r="AW4" s="188"/>
      <c r="AX4" s="188"/>
      <c r="AY4" s="188"/>
      <c r="AZ4" s="188"/>
      <c r="BA4" s="189"/>
      <c r="BB4" s="19"/>
      <c r="BC4" s="19"/>
      <c r="BD4" s="19"/>
      <c r="BE4" s="19"/>
      <c r="BF4" s="19"/>
      <c r="BG4" s="19"/>
      <c r="BH4" s="19"/>
      <c r="BI4" s="181" t="s">
        <v>16</v>
      </c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6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81" t="s">
        <v>17</v>
      </c>
      <c r="CK4" s="182"/>
      <c r="CL4" s="182"/>
      <c r="CM4" s="182"/>
      <c r="CN4" s="182"/>
      <c r="CO4" s="182"/>
      <c r="CP4" s="182"/>
      <c r="CQ4" s="182"/>
      <c r="CR4" s="182"/>
      <c r="CS4" s="182"/>
      <c r="CT4" s="186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20"/>
      <c r="DH4" s="20"/>
      <c r="DI4" s="20"/>
      <c r="DJ4" s="20"/>
      <c r="DK4" s="20"/>
      <c r="DL4" s="20"/>
      <c r="DM4" s="20"/>
      <c r="DN4" s="214" t="s">
        <v>18</v>
      </c>
      <c r="DO4" s="215"/>
      <c r="DP4" s="215"/>
      <c r="DQ4" s="215"/>
      <c r="DR4" s="182"/>
      <c r="DS4" s="182"/>
      <c r="DT4" s="182"/>
      <c r="DU4" s="182"/>
      <c r="DV4" s="182"/>
      <c r="DW4" s="182"/>
      <c r="DX4" s="182"/>
      <c r="DY4" s="182"/>
      <c r="DZ4" s="182"/>
      <c r="EA4" s="186"/>
      <c r="EB4" s="19"/>
      <c r="EC4" s="19"/>
      <c r="ED4" s="19"/>
      <c r="EE4" s="19"/>
      <c r="EF4" s="19"/>
      <c r="EG4" s="19"/>
      <c r="EH4" s="187" t="s">
        <v>19</v>
      </c>
      <c r="EI4" s="188"/>
      <c r="EJ4" s="188"/>
      <c r="EK4" s="188"/>
      <c r="EL4" s="188"/>
      <c r="EM4" s="188"/>
      <c r="EN4" s="188"/>
      <c r="EO4" s="188"/>
      <c r="EP4" s="188"/>
      <c r="EQ4" s="188"/>
      <c r="ER4" s="188"/>
      <c r="ES4" s="188"/>
      <c r="ET4" s="188"/>
      <c r="EU4" s="189"/>
      <c r="EV4" s="19"/>
      <c r="EW4" s="19"/>
      <c r="EX4" s="19"/>
      <c r="EY4" s="19"/>
      <c r="EZ4" s="19"/>
      <c r="FA4" s="19"/>
      <c r="FB4" s="19"/>
      <c r="FC4" s="19"/>
      <c r="FD4" s="181" t="s">
        <v>20</v>
      </c>
      <c r="FE4" s="182"/>
      <c r="FF4" s="182"/>
      <c r="FG4" s="182"/>
      <c r="FH4" s="182"/>
      <c r="FI4" s="182"/>
      <c r="FJ4" s="182"/>
      <c r="FK4" s="182"/>
      <c r="FL4" s="19" t="s">
        <v>21</v>
      </c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81" t="s">
        <v>22</v>
      </c>
      <c r="GN4" s="182"/>
      <c r="GO4" s="182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81" t="s">
        <v>23</v>
      </c>
      <c r="HJ4" s="182"/>
      <c r="HK4" s="182"/>
      <c r="HL4" s="182"/>
      <c r="HM4" s="182"/>
      <c r="HN4" s="182"/>
      <c r="HO4" s="182"/>
      <c r="HP4" s="186"/>
      <c r="HQ4" s="19"/>
      <c r="HR4" s="19"/>
      <c r="HS4" s="19"/>
      <c r="HT4" s="19"/>
      <c r="HU4" s="19"/>
      <c r="HV4" s="19"/>
      <c r="HW4" s="19"/>
      <c r="HX4" s="19"/>
      <c r="HY4" s="19"/>
      <c r="HZ4" s="187" t="s">
        <v>24</v>
      </c>
      <c r="IA4" s="188"/>
      <c r="IB4" s="188"/>
      <c r="IC4" s="188"/>
      <c r="ID4" s="188"/>
      <c r="IE4" s="188"/>
      <c r="IF4" s="188"/>
      <c r="IG4" s="188"/>
      <c r="IH4" s="188"/>
      <c r="II4" s="188"/>
      <c r="IJ4" s="188"/>
      <c r="IK4" s="188"/>
      <c r="IL4" s="188"/>
      <c r="IM4" s="188"/>
      <c r="IN4" s="189"/>
      <c r="IO4" s="19"/>
      <c r="IP4" s="19"/>
      <c r="IQ4" s="19"/>
      <c r="IR4" s="19"/>
      <c r="IS4" s="19"/>
      <c r="IT4" s="19"/>
      <c r="IU4" s="19"/>
      <c r="IV4" s="19"/>
      <c r="IW4" s="19"/>
      <c r="IX4" s="181" t="s">
        <v>22</v>
      </c>
      <c r="IY4" s="182"/>
      <c r="IZ4" s="182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21"/>
      <c r="JW4" s="11"/>
      <c r="JX4" s="5"/>
      <c r="JY4" s="5"/>
      <c r="JZ4" s="181" t="s">
        <v>22</v>
      </c>
      <c r="KA4" s="182"/>
      <c r="KB4" s="182"/>
      <c r="KC4" s="5"/>
      <c r="KD4" s="122" t="s">
        <v>25</v>
      </c>
      <c r="KE4" s="123"/>
      <c r="KF4" s="123"/>
      <c r="KG4" s="123"/>
      <c r="KH4" s="123"/>
      <c r="KI4" s="123"/>
      <c r="KJ4" s="123"/>
      <c r="KK4" s="123"/>
      <c r="KL4" s="123"/>
      <c r="KM4" s="123"/>
      <c r="KN4" s="165"/>
      <c r="KO4" s="5"/>
      <c r="KP4" s="5"/>
      <c r="KQ4" s="5"/>
      <c r="KR4" s="55"/>
      <c r="KS4" s="12"/>
      <c r="KT4" s="12"/>
      <c r="KU4" s="12"/>
      <c r="KV4" s="5"/>
      <c r="KW4" s="5"/>
      <c r="KX4" s="5"/>
      <c r="KY4" s="5"/>
      <c r="KZ4" s="5"/>
      <c r="LA4" s="5"/>
      <c r="LF4" s="7" t="s">
        <v>26</v>
      </c>
    </row>
    <row r="5" spans="1:336">
      <c r="A5" s="226"/>
      <c r="B5" s="9">
        <v>2</v>
      </c>
      <c r="C5" s="122" t="s">
        <v>27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6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124" t="s">
        <v>28</v>
      </c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6"/>
      <c r="AT5" s="5"/>
      <c r="AU5" s="122" t="s">
        <v>29</v>
      </c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65"/>
      <c r="BI5" s="5"/>
      <c r="BJ5" s="5"/>
      <c r="BK5" s="5"/>
      <c r="BL5" s="5"/>
      <c r="BM5" s="5"/>
      <c r="BN5" s="5"/>
      <c r="BO5" s="5"/>
      <c r="BP5" s="5"/>
      <c r="BQ5" s="124" t="s">
        <v>30</v>
      </c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5"/>
      <c r="CF5" s="5"/>
      <c r="CG5" s="5"/>
      <c r="CH5" s="5"/>
      <c r="CI5" s="5"/>
      <c r="CJ5" s="124" t="s">
        <v>31</v>
      </c>
      <c r="CK5" s="125"/>
      <c r="CL5" s="125"/>
      <c r="CM5" s="125"/>
      <c r="CN5" s="125"/>
      <c r="CO5" s="125"/>
      <c r="CP5" s="125"/>
      <c r="CQ5" s="125"/>
      <c r="CR5" s="125"/>
      <c r="CS5" s="125"/>
      <c r="CT5" s="126"/>
      <c r="CU5" s="5"/>
      <c r="CV5" s="5"/>
      <c r="CW5" s="5"/>
      <c r="CX5" s="5"/>
      <c r="CY5" s="5"/>
      <c r="CZ5" s="124" t="s">
        <v>22</v>
      </c>
      <c r="DA5" s="125"/>
      <c r="DB5" s="125"/>
      <c r="DC5" s="5"/>
      <c r="DD5" s="5"/>
      <c r="DE5" s="5"/>
      <c r="DF5" s="14"/>
      <c r="DG5" s="177" t="s">
        <v>25</v>
      </c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1"/>
      <c r="DS5" s="5"/>
      <c r="DT5" s="5"/>
      <c r="DU5" s="5"/>
      <c r="DV5" s="5"/>
      <c r="DW5" s="5"/>
      <c r="DX5" s="5"/>
      <c r="DY5" s="5"/>
      <c r="DZ5" s="5"/>
      <c r="EA5" s="5"/>
      <c r="EB5" s="124" t="s">
        <v>22</v>
      </c>
      <c r="EC5" s="125"/>
      <c r="ED5" s="125"/>
      <c r="EE5" s="5"/>
      <c r="EF5" s="5"/>
      <c r="EG5" s="5"/>
      <c r="EH5" s="122" t="s">
        <v>27</v>
      </c>
      <c r="EI5" s="123"/>
      <c r="EJ5" s="123"/>
      <c r="EK5" s="123"/>
      <c r="EL5" s="123"/>
      <c r="EM5" s="123"/>
      <c r="EN5" s="16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124" t="s">
        <v>32</v>
      </c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5" t="s">
        <v>21</v>
      </c>
      <c r="FP5" s="5"/>
      <c r="FQ5" s="5"/>
      <c r="FR5" s="5"/>
      <c r="FS5" s="5"/>
      <c r="FT5" s="5"/>
      <c r="FU5" s="5"/>
      <c r="FV5" s="5"/>
      <c r="FW5" s="5"/>
      <c r="FX5" s="5"/>
      <c r="FY5" s="124" t="s">
        <v>33</v>
      </c>
      <c r="FZ5" s="125"/>
      <c r="GA5" s="125"/>
      <c r="GB5" s="125"/>
      <c r="GC5" s="125"/>
      <c r="GD5" s="125"/>
      <c r="GE5" s="125"/>
      <c r="GF5" s="125"/>
      <c r="GG5" s="125"/>
      <c r="GH5" s="125"/>
      <c r="GI5" s="125"/>
      <c r="GJ5" s="5"/>
      <c r="GK5" s="5"/>
      <c r="GL5" s="5"/>
      <c r="GM5" s="5"/>
      <c r="GN5" s="5"/>
      <c r="GO5" s="5"/>
      <c r="GP5" s="5"/>
      <c r="GQ5" s="122" t="s">
        <v>25</v>
      </c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65"/>
      <c r="HC5" s="5"/>
      <c r="HD5" s="5"/>
      <c r="HE5" s="5"/>
      <c r="HF5" s="5"/>
      <c r="HG5" s="124" t="s">
        <v>34</v>
      </c>
      <c r="HH5" s="125"/>
      <c r="HI5" s="125"/>
      <c r="HJ5" s="125"/>
      <c r="HK5" s="125"/>
      <c r="HL5" s="125"/>
      <c r="HM5" s="125"/>
      <c r="HN5" s="125"/>
      <c r="HO5" s="125"/>
      <c r="HP5" s="125"/>
      <c r="HQ5" s="125"/>
      <c r="HR5" s="125"/>
      <c r="HS5" s="126"/>
      <c r="HT5" s="5"/>
      <c r="HU5" s="5"/>
      <c r="HV5" s="5"/>
      <c r="HW5" s="122" t="s">
        <v>25</v>
      </c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6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122" t="s">
        <v>25</v>
      </c>
      <c r="IV5" s="123"/>
      <c r="IW5" s="123"/>
      <c r="IX5" s="123"/>
      <c r="IY5" s="123"/>
      <c r="IZ5" s="123"/>
      <c r="JA5" s="123"/>
      <c r="JB5" s="123"/>
      <c r="JC5" s="123"/>
      <c r="JD5" s="123"/>
      <c r="JE5" s="123"/>
      <c r="JF5" s="16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124" t="s">
        <v>35</v>
      </c>
      <c r="JS5" s="125"/>
      <c r="JT5" s="125"/>
      <c r="JU5" s="125"/>
      <c r="JV5" s="125"/>
      <c r="JW5" s="125"/>
      <c r="JX5" s="125"/>
      <c r="JY5" s="125"/>
      <c r="JZ5" s="125"/>
      <c r="KA5" s="125"/>
      <c r="KB5" s="125"/>
      <c r="KC5" s="125"/>
      <c r="KD5" s="126"/>
      <c r="KE5" s="5"/>
      <c r="KF5" s="13"/>
      <c r="KG5" s="13"/>
      <c r="KH5" s="124" t="s">
        <v>36</v>
      </c>
      <c r="KI5" s="125"/>
      <c r="KJ5" s="125"/>
      <c r="KK5" s="125"/>
      <c r="KL5" s="125"/>
      <c r="KM5" s="125"/>
      <c r="KN5" s="125"/>
      <c r="KO5" s="125"/>
      <c r="KP5" s="125"/>
      <c r="KQ5" s="126"/>
      <c r="KR5" s="5"/>
      <c r="KS5" s="5"/>
      <c r="KT5" s="5"/>
      <c r="KU5" s="5"/>
      <c r="KV5" s="55"/>
      <c r="KW5" s="12"/>
      <c r="KX5" s="12"/>
      <c r="KY5" s="12"/>
      <c r="KZ5" s="12"/>
      <c r="LA5" s="12"/>
    </row>
    <row r="6" spans="1:336">
      <c r="A6" s="226"/>
      <c r="B6" s="2">
        <v>3</v>
      </c>
      <c r="C6" s="122" t="s">
        <v>37</v>
      </c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6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24" t="s">
        <v>38</v>
      </c>
      <c r="AI6" s="125"/>
      <c r="AJ6" s="125"/>
      <c r="AK6" s="125"/>
      <c r="AL6" s="125"/>
      <c r="AM6" s="125"/>
      <c r="AN6" s="125"/>
      <c r="AO6" s="125"/>
      <c r="AP6" s="126"/>
      <c r="AQ6" s="5"/>
      <c r="AR6" s="5"/>
      <c r="AS6" s="5"/>
      <c r="AT6" s="5"/>
      <c r="AU6" s="122" t="s">
        <v>39</v>
      </c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65"/>
      <c r="BI6" s="5"/>
      <c r="BJ6" s="5"/>
      <c r="BK6" s="5"/>
      <c r="BL6" s="5"/>
      <c r="BM6" s="5"/>
      <c r="BN6" s="5"/>
      <c r="BO6" s="5"/>
      <c r="BP6" s="5"/>
      <c r="BQ6" s="124" t="s">
        <v>22</v>
      </c>
      <c r="BR6" s="125"/>
      <c r="BS6" s="12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124" t="s">
        <v>40</v>
      </c>
      <c r="CS6" s="125"/>
      <c r="CT6" s="125"/>
      <c r="CU6" s="125"/>
      <c r="CV6" s="125"/>
      <c r="CW6" s="125"/>
      <c r="CX6" s="125"/>
      <c r="CY6" s="125"/>
      <c r="CZ6" s="125"/>
      <c r="DA6" s="125"/>
      <c r="DB6" s="5"/>
      <c r="DC6" s="5"/>
      <c r="DD6" s="5"/>
      <c r="DE6" s="5"/>
      <c r="DF6" s="5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5"/>
      <c r="DS6" s="5"/>
      <c r="DT6" s="5"/>
      <c r="DU6" s="124" t="s">
        <v>41</v>
      </c>
      <c r="DV6" s="125"/>
      <c r="DW6" s="125"/>
      <c r="DX6" s="125"/>
      <c r="DY6" s="125"/>
      <c r="DZ6" s="125"/>
      <c r="EA6" s="125"/>
      <c r="EB6" s="125"/>
      <c r="EC6" s="125"/>
      <c r="ED6" s="125"/>
      <c r="EE6" s="5"/>
      <c r="EF6" s="5"/>
      <c r="EG6" s="5"/>
      <c r="EH6" s="122" t="s">
        <v>42</v>
      </c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65"/>
      <c r="EV6" s="5"/>
      <c r="EW6" s="5"/>
      <c r="EX6" s="5"/>
      <c r="EY6" s="5"/>
      <c r="EZ6" s="5"/>
      <c r="FA6" s="5"/>
      <c r="FB6" s="5"/>
      <c r="FC6" s="5"/>
      <c r="FD6" s="211" t="s">
        <v>43</v>
      </c>
      <c r="FE6" s="212"/>
      <c r="FF6" s="212"/>
      <c r="FG6" s="212"/>
      <c r="FH6" s="125"/>
      <c r="FI6" s="125"/>
      <c r="FJ6" s="125"/>
      <c r="FK6" s="125"/>
      <c r="FL6" s="125"/>
      <c r="FM6" s="125"/>
      <c r="FN6" s="125"/>
      <c r="FO6" s="125"/>
      <c r="FP6" s="125"/>
      <c r="FQ6" s="126"/>
      <c r="FR6" s="5" t="s">
        <v>21</v>
      </c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124" t="s">
        <v>44</v>
      </c>
      <c r="GF6" s="125"/>
      <c r="GG6" s="125"/>
      <c r="GH6" s="125"/>
      <c r="GI6" s="125"/>
      <c r="GJ6" s="125"/>
      <c r="GK6" s="125"/>
      <c r="GL6" s="125"/>
      <c r="GM6" s="125"/>
      <c r="GN6" s="125"/>
      <c r="GO6" s="5"/>
      <c r="GP6" s="5"/>
      <c r="GQ6" s="5"/>
      <c r="GR6" s="124" t="s">
        <v>45</v>
      </c>
      <c r="GS6" s="125"/>
      <c r="GT6" s="125"/>
      <c r="GU6" s="125"/>
      <c r="GV6" s="125"/>
      <c r="GW6" s="125"/>
      <c r="GX6" s="125"/>
      <c r="GY6" s="126"/>
      <c r="GZ6" s="5"/>
      <c r="HA6" s="5"/>
      <c r="HB6" s="5"/>
      <c r="HC6" s="5"/>
      <c r="HD6" s="5"/>
      <c r="HE6" s="5"/>
      <c r="HF6" s="5"/>
      <c r="HG6" s="124" t="s">
        <v>46</v>
      </c>
      <c r="HH6" s="125"/>
      <c r="HI6" s="125"/>
      <c r="HJ6" s="125"/>
      <c r="HK6" s="125"/>
      <c r="HL6" s="125"/>
      <c r="HM6" s="125"/>
      <c r="HN6" s="125"/>
      <c r="HO6" s="125"/>
      <c r="HP6" s="125"/>
      <c r="HQ6" s="125"/>
      <c r="HR6" s="125"/>
      <c r="HS6" s="126"/>
      <c r="HT6" s="5"/>
      <c r="HU6" s="5"/>
      <c r="HV6" s="5"/>
      <c r="HW6" s="5"/>
      <c r="HX6" s="5"/>
      <c r="HY6" s="5"/>
      <c r="HZ6" s="122" t="s">
        <v>42</v>
      </c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181" t="s">
        <v>47</v>
      </c>
      <c r="JD6" s="182"/>
      <c r="JE6" s="182"/>
      <c r="JF6" s="182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22"/>
      <c r="JW6" s="11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124" t="s">
        <v>48</v>
      </c>
      <c r="KN6" s="125"/>
      <c r="KO6" s="125"/>
      <c r="KP6" s="125"/>
      <c r="KQ6" s="125"/>
      <c r="KR6" s="125"/>
      <c r="KS6" s="125"/>
      <c r="KT6" s="125"/>
      <c r="KU6" s="125"/>
      <c r="KV6" s="125"/>
      <c r="KW6" s="125"/>
      <c r="KX6" s="125"/>
      <c r="KY6" s="125"/>
      <c r="KZ6" s="126"/>
      <c r="LA6" s="5"/>
    </row>
    <row r="7" spans="1:336">
      <c r="A7" s="226"/>
      <c r="B7" s="9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22" t="s">
        <v>49</v>
      </c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65"/>
      <c r="AE7" s="5"/>
      <c r="AF7" s="5"/>
      <c r="AG7" s="5"/>
      <c r="AH7" s="124" t="s">
        <v>50</v>
      </c>
      <c r="AI7" s="125"/>
      <c r="AJ7" s="125"/>
      <c r="AK7" s="125"/>
      <c r="AL7" s="125"/>
      <c r="AM7" s="125"/>
      <c r="AN7" s="125"/>
      <c r="AO7" s="125"/>
      <c r="AP7" s="126"/>
      <c r="AQ7" s="5"/>
      <c r="AR7" s="5"/>
      <c r="AS7" s="5"/>
      <c r="AT7" s="5"/>
      <c r="AU7" s="122" t="s">
        <v>51</v>
      </c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6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124" t="s">
        <v>25</v>
      </c>
      <c r="BY7" s="125"/>
      <c r="BZ7" s="125"/>
      <c r="CA7" s="125"/>
      <c r="CB7" s="125"/>
      <c r="CC7" s="125"/>
      <c r="CD7" s="125"/>
      <c r="CE7" s="125"/>
      <c r="CF7" s="125"/>
      <c r="CG7" s="125"/>
      <c r="CH7" s="126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122" t="s">
        <v>25</v>
      </c>
      <c r="EI7" s="123"/>
      <c r="EJ7" s="123"/>
      <c r="EK7" s="123"/>
      <c r="EL7" s="123"/>
      <c r="EM7" s="123"/>
      <c r="EN7" s="123"/>
      <c r="EO7" s="123"/>
      <c r="EP7" s="123"/>
      <c r="EQ7" s="123"/>
      <c r="ER7" s="123"/>
      <c r="ES7" s="16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124" t="s">
        <v>22</v>
      </c>
      <c r="FG7" s="125"/>
      <c r="FH7" s="125"/>
      <c r="FI7" s="5" t="s">
        <v>21</v>
      </c>
      <c r="FJ7" s="5"/>
      <c r="FK7" s="124" t="s">
        <v>52</v>
      </c>
      <c r="FL7" s="125"/>
      <c r="FM7" s="125"/>
      <c r="FN7" s="125"/>
      <c r="FO7" s="125"/>
      <c r="FP7" s="125"/>
      <c r="FQ7" s="125"/>
      <c r="FR7" s="12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124" t="s">
        <v>53</v>
      </c>
      <c r="HA7" s="125"/>
      <c r="HB7" s="125"/>
      <c r="HC7" s="125"/>
      <c r="HD7" s="125"/>
      <c r="HE7" s="125"/>
      <c r="HF7" s="125"/>
      <c r="HG7" s="125"/>
      <c r="HH7" s="125"/>
      <c r="HI7" s="125"/>
      <c r="HJ7" s="125"/>
      <c r="HK7" s="125"/>
      <c r="HL7" s="125"/>
      <c r="HM7" s="125"/>
      <c r="HN7" s="125"/>
      <c r="HO7" s="125"/>
      <c r="HP7" s="126"/>
      <c r="HQ7" s="5"/>
      <c r="HR7" s="5"/>
      <c r="HS7" s="5"/>
      <c r="HT7" s="5"/>
      <c r="HU7" s="5"/>
      <c r="HV7" s="5"/>
      <c r="HW7" s="5"/>
      <c r="HX7" s="5"/>
      <c r="HY7" s="5"/>
      <c r="HZ7" s="122" t="s">
        <v>54</v>
      </c>
      <c r="IA7" s="123"/>
      <c r="IB7" s="123"/>
      <c r="IC7" s="123"/>
      <c r="ID7" s="123"/>
      <c r="IE7" s="123"/>
      <c r="IF7" s="123"/>
      <c r="IG7" s="123"/>
      <c r="IH7" s="123"/>
      <c r="II7" s="123"/>
      <c r="IJ7" s="123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122" t="s">
        <v>55</v>
      </c>
      <c r="JL7" s="123"/>
      <c r="JM7" s="123"/>
      <c r="JN7" s="123"/>
      <c r="JO7" s="123"/>
      <c r="JP7" s="123"/>
      <c r="JQ7" s="123"/>
      <c r="JR7" s="123"/>
      <c r="JS7" s="123"/>
      <c r="JT7" s="123"/>
      <c r="JU7" s="123"/>
      <c r="JV7" s="123"/>
      <c r="JW7" s="123"/>
      <c r="JX7" s="123"/>
      <c r="JY7" s="123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177" t="s">
        <v>56</v>
      </c>
      <c r="KU7" s="177"/>
      <c r="KV7" s="177"/>
      <c r="KW7" s="177"/>
      <c r="KX7" s="177"/>
      <c r="KY7" s="177"/>
      <c r="KZ7" s="177"/>
      <c r="LA7" s="177"/>
      <c r="LB7" s="177"/>
      <c r="LC7" s="177"/>
      <c r="LD7" s="177"/>
      <c r="LE7" s="177"/>
      <c r="LF7" s="177"/>
    </row>
    <row r="8" spans="1:336">
      <c r="A8" s="226"/>
      <c r="B8" s="2">
        <v>5</v>
      </c>
      <c r="C8" s="122" t="s">
        <v>57</v>
      </c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6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122" t="s">
        <v>58</v>
      </c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6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7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12"/>
      <c r="FK8" s="12"/>
      <c r="FL8" s="12"/>
      <c r="FM8" s="12"/>
      <c r="FN8" s="122" t="s">
        <v>25</v>
      </c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65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5"/>
      <c r="HI8" s="5"/>
      <c r="HJ8" s="5"/>
      <c r="HK8" s="5"/>
      <c r="HL8" s="5"/>
      <c r="HM8" s="5"/>
      <c r="HN8" s="124" t="s">
        <v>59</v>
      </c>
      <c r="HO8" s="125"/>
      <c r="HP8" s="125"/>
      <c r="HQ8" s="125"/>
      <c r="HR8" s="125"/>
      <c r="HS8" s="125"/>
      <c r="HT8" s="125"/>
      <c r="HU8" s="125"/>
      <c r="HV8" s="125"/>
      <c r="HW8" s="126"/>
      <c r="HX8" s="5"/>
      <c r="HY8" s="5"/>
      <c r="HZ8" s="122" t="s">
        <v>27</v>
      </c>
      <c r="IA8" s="123"/>
      <c r="IB8" s="123"/>
      <c r="IC8" s="123"/>
      <c r="ID8" s="123"/>
      <c r="IE8" s="123"/>
      <c r="IF8" s="123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22"/>
      <c r="JW8" s="11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</row>
    <row r="9" spans="1:336">
      <c r="A9" s="226"/>
      <c r="B9" s="9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6"/>
      <c r="AV9" s="12"/>
      <c r="AW9" s="12"/>
      <c r="AX9" s="12"/>
      <c r="AY9" s="12"/>
      <c r="AZ9" s="12"/>
      <c r="BA9" s="12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205" t="s">
        <v>60</v>
      </c>
      <c r="CV9" s="206"/>
      <c r="CW9" s="207"/>
      <c r="CX9" s="205" t="s">
        <v>61</v>
      </c>
      <c r="CY9" s="206"/>
      <c r="CZ9" s="206"/>
      <c r="DA9" s="206"/>
      <c r="DB9" s="206"/>
      <c r="DC9" s="206"/>
      <c r="DD9" s="206"/>
      <c r="DE9" s="206"/>
      <c r="DF9" s="206"/>
      <c r="DG9" s="207"/>
      <c r="DH9" s="5"/>
      <c r="DI9" s="6" t="s">
        <v>62</v>
      </c>
      <c r="DJ9" s="5"/>
      <c r="DK9" s="5"/>
      <c r="DL9" s="6" t="s">
        <v>63</v>
      </c>
      <c r="DM9" s="5"/>
      <c r="DN9" s="5"/>
      <c r="DO9" s="5"/>
      <c r="DP9" s="5"/>
      <c r="DQ9" s="5"/>
      <c r="DR9" s="5"/>
      <c r="DS9" s="5"/>
      <c r="DT9" s="7" t="s">
        <v>64</v>
      </c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7"/>
      <c r="EI9" s="5"/>
      <c r="EJ9" s="5"/>
      <c r="EK9" s="5"/>
      <c r="EL9" s="5"/>
      <c r="EM9" s="5"/>
      <c r="EN9" s="5"/>
      <c r="EO9" s="5"/>
      <c r="EP9" s="211" t="s">
        <v>65</v>
      </c>
      <c r="EQ9" s="212"/>
      <c r="ER9" s="212"/>
      <c r="ES9" s="212"/>
      <c r="ET9" s="125"/>
      <c r="EU9" s="125"/>
      <c r="EV9" s="125"/>
      <c r="EW9" s="125"/>
      <c r="EX9" s="125"/>
      <c r="EY9" s="125"/>
      <c r="EZ9" s="125"/>
      <c r="FA9" s="125"/>
      <c r="FB9" s="125"/>
      <c r="FC9" s="126"/>
      <c r="FD9" s="5"/>
      <c r="FE9" s="5"/>
      <c r="FF9" s="5"/>
      <c r="FG9" s="5"/>
      <c r="FH9" s="5"/>
      <c r="FI9" s="14" t="s">
        <v>21</v>
      </c>
      <c r="FJ9" s="216" t="s">
        <v>66</v>
      </c>
      <c r="FK9" s="209"/>
      <c r="FL9" s="209"/>
      <c r="FM9" s="209"/>
      <c r="FN9" s="209"/>
      <c r="FO9" s="208" t="s">
        <v>67</v>
      </c>
      <c r="FP9" s="209"/>
      <c r="FQ9" s="209"/>
      <c r="FR9" s="209"/>
      <c r="FS9" s="209"/>
      <c r="FT9" s="209"/>
      <c r="FU9" s="209"/>
      <c r="FV9" s="209"/>
      <c r="FW9" s="209"/>
      <c r="FX9" s="209"/>
      <c r="FY9" s="209"/>
      <c r="FZ9" s="209"/>
      <c r="GA9" s="217"/>
      <c r="GB9" s="208" t="s">
        <v>68</v>
      </c>
      <c r="GC9" s="209"/>
      <c r="GD9" s="209"/>
      <c r="GE9" s="209"/>
      <c r="GF9" s="208" t="s">
        <v>69</v>
      </c>
      <c r="GG9" s="209"/>
      <c r="GH9" s="209"/>
      <c r="GI9" s="209"/>
      <c r="GJ9" s="209"/>
      <c r="GK9" s="209"/>
      <c r="GL9" s="209"/>
      <c r="GM9" s="209"/>
      <c r="GN9" s="209"/>
      <c r="GO9" s="209"/>
      <c r="GP9" s="208" t="s">
        <v>70</v>
      </c>
      <c r="GQ9" s="209"/>
      <c r="GR9" s="209"/>
      <c r="GS9" s="209"/>
      <c r="GT9" s="208" t="s">
        <v>71</v>
      </c>
      <c r="GU9" s="209"/>
      <c r="GV9" s="209"/>
      <c r="GW9" s="209"/>
      <c r="GX9" s="209"/>
      <c r="GY9" s="209"/>
      <c r="GZ9" s="209"/>
      <c r="HA9" s="209"/>
      <c r="HB9" s="209"/>
      <c r="HC9" s="209"/>
      <c r="HD9" s="208" t="s">
        <v>72</v>
      </c>
      <c r="HE9" s="209"/>
      <c r="HF9" s="209"/>
      <c r="HG9" s="210"/>
      <c r="HH9" s="11"/>
      <c r="HI9" s="5"/>
      <c r="HJ9" s="5"/>
      <c r="HK9" s="5"/>
      <c r="HL9" s="5"/>
      <c r="HM9" s="5"/>
      <c r="HN9" s="5"/>
      <c r="HO9" s="5"/>
      <c r="HP9" s="5"/>
      <c r="HQ9" s="5"/>
      <c r="HR9" s="5"/>
      <c r="HS9" s="124" t="s">
        <v>22</v>
      </c>
      <c r="HT9" s="125"/>
      <c r="HU9" s="125"/>
      <c r="HV9" s="5"/>
      <c r="HW9" s="5"/>
      <c r="HX9" s="5"/>
      <c r="HY9" s="5"/>
      <c r="HZ9" s="190" t="s">
        <v>73</v>
      </c>
      <c r="IA9" s="191"/>
      <c r="IB9" s="191"/>
      <c r="IC9" s="191"/>
      <c r="ID9" s="191"/>
      <c r="IE9" s="191"/>
      <c r="IF9" s="191"/>
      <c r="IG9" s="191"/>
      <c r="IH9" s="191"/>
      <c r="II9" s="191"/>
      <c r="IJ9" s="191"/>
      <c r="IK9" s="191"/>
      <c r="IL9" s="191"/>
      <c r="IM9" s="191"/>
      <c r="IN9" s="192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122" t="s">
        <v>74</v>
      </c>
      <c r="JE9" s="123"/>
      <c r="JF9" s="123"/>
      <c r="JG9" s="123"/>
      <c r="JH9" s="123"/>
      <c r="JI9" s="123"/>
      <c r="JJ9" s="123"/>
      <c r="JK9" s="123"/>
      <c r="JL9" s="123"/>
      <c r="JM9" s="165"/>
      <c r="JN9" s="5"/>
      <c r="JO9" s="5"/>
      <c r="JP9" s="122" t="s">
        <v>75</v>
      </c>
      <c r="JQ9" s="123"/>
      <c r="JR9" s="123"/>
      <c r="JS9" s="123"/>
      <c r="JT9" s="123"/>
      <c r="JU9" s="5"/>
      <c r="JV9" s="122" t="s">
        <v>76</v>
      </c>
      <c r="JW9" s="123"/>
      <c r="JX9" s="123"/>
      <c r="JY9" s="123"/>
      <c r="JZ9" s="123"/>
      <c r="KA9" s="123"/>
      <c r="KB9" s="123"/>
      <c r="KC9" s="16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</row>
    <row r="10" spans="1:336">
      <c r="A10" s="226"/>
      <c r="B10" s="2">
        <v>7</v>
      </c>
      <c r="C10" s="5"/>
      <c r="D10" s="5"/>
      <c r="E10" s="5"/>
      <c r="F10" s="5"/>
      <c r="G10" s="5"/>
      <c r="H10" s="5"/>
      <c r="I10" s="5"/>
      <c r="J10" s="5"/>
      <c r="K10" s="124" t="s">
        <v>77</v>
      </c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6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124" t="s">
        <v>78</v>
      </c>
      <c r="AP10" s="125"/>
      <c r="AQ10" s="125"/>
      <c r="AR10" s="125"/>
      <c r="AS10" s="125"/>
      <c r="AT10" s="126"/>
      <c r="AU10" s="10" t="s">
        <v>79</v>
      </c>
      <c r="AV10" s="5"/>
      <c r="AW10" s="5"/>
      <c r="AX10" s="5"/>
      <c r="AY10" s="5"/>
      <c r="AZ10" s="5"/>
      <c r="BA10" s="5"/>
      <c r="BB10" s="11"/>
      <c r="BC10" s="5"/>
      <c r="BD10" s="5"/>
      <c r="BE10" s="5"/>
      <c r="BF10" s="5"/>
      <c r="BG10" s="5"/>
      <c r="BH10" s="5"/>
      <c r="BI10" s="7" t="s">
        <v>80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6" t="s">
        <v>81</v>
      </c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7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7"/>
      <c r="IA10" s="5"/>
      <c r="IB10" s="5"/>
      <c r="IC10" s="5"/>
      <c r="ID10" s="5"/>
      <c r="IE10" s="5"/>
      <c r="IF10" s="5"/>
      <c r="IG10" s="5"/>
      <c r="IH10" s="124" t="s">
        <v>46</v>
      </c>
      <c r="II10" s="125"/>
      <c r="IJ10" s="125"/>
      <c r="IK10" s="125"/>
      <c r="IL10" s="125"/>
      <c r="IM10" s="125"/>
      <c r="IN10" s="125"/>
      <c r="IO10" s="125"/>
      <c r="IP10" s="125"/>
      <c r="IQ10" s="125"/>
      <c r="IR10" s="125"/>
      <c r="IS10" s="125"/>
      <c r="IT10" s="126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22"/>
      <c r="JW10" s="213" t="s">
        <v>82</v>
      </c>
      <c r="JX10" s="166"/>
      <c r="JY10" s="123"/>
      <c r="JZ10" s="123"/>
      <c r="KA10" s="123"/>
      <c r="KB10" s="16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</row>
    <row r="11" spans="1:336">
      <c r="A11" s="226"/>
      <c r="B11" s="9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124" t="s">
        <v>25</v>
      </c>
      <c r="T11" s="125"/>
      <c r="U11" s="125"/>
      <c r="V11" s="125"/>
      <c r="W11" s="125"/>
      <c r="X11" s="125"/>
      <c r="Y11" s="125"/>
      <c r="Z11" s="125"/>
      <c r="AA11" s="12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7" t="s">
        <v>83</v>
      </c>
      <c r="AV11" s="13"/>
      <c r="AW11" s="13"/>
      <c r="AX11" s="13"/>
      <c r="AY11" s="13"/>
      <c r="AZ11" s="13"/>
      <c r="BA11" s="13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7" t="s">
        <v>84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P11" s="7" t="s">
        <v>85</v>
      </c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7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16" t="s">
        <v>86</v>
      </c>
      <c r="FG11" s="17"/>
      <c r="FH11" s="17"/>
      <c r="FI11" s="17"/>
      <c r="FJ11" s="17" t="s">
        <v>21</v>
      </c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7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181" t="s">
        <v>87</v>
      </c>
      <c r="IL11" s="182"/>
      <c r="IM11" s="182"/>
      <c r="IN11" s="182"/>
      <c r="IO11" s="182"/>
      <c r="IP11" s="182"/>
      <c r="IQ11" s="182"/>
      <c r="IR11" s="186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22"/>
      <c r="JW11" s="35"/>
      <c r="JX11" s="7" t="s">
        <v>5</v>
      </c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</row>
    <row r="12" spans="1:336">
      <c r="A12" s="226"/>
      <c r="B12" s="2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7" t="s">
        <v>88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7" t="s">
        <v>89</v>
      </c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7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7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22"/>
      <c r="JW12" s="11"/>
      <c r="JX12" s="13"/>
      <c r="JY12" s="122" t="s">
        <v>1</v>
      </c>
      <c r="JZ12" s="16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</row>
    <row r="13" spans="1:336">
      <c r="A13" s="226"/>
      <c r="B13" s="9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7" t="s">
        <v>90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202" t="s">
        <v>91</v>
      </c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4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7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7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22"/>
      <c r="JW13" s="11"/>
      <c r="JX13" s="5"/>
      <c r="JY13" s="5"/>
      <c r="JZ13" s="5"/>
      <c r="KA13" s="5"/>
      <c r="KB13" s="7" t="s">
        <v>81</v>
      </c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</row>
    <row r="14" spans="1:336">
      <c r="A14" s="226"/>
      <c r="B14" s="26">
        <v>11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27" t="s">
        <v>92</v>
      </c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27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27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28"/>
      <c r="JW14" s="11"/>
      <c r="JX14" s="5"/>
      <c r="JY14" s="5"/>
      <c r="JZ14" s="5"/>
      <c r="KA14" s="5"/>
      <c r="KB14" s="5"/>
      <c r="KC14" s="7" t="s">
        <v>93</v>
      </c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</row>
    <row r="15" spans="1:336" hidden="1">
      <c r="A15" s="193" t="s">
        <v>94</v>
      </c>
      <c r="B15" s="24">
        <v>12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25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25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25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59" t="s">
        <v>95</v>
      </c>
      <c r="IV15" s="19"/>
      <c r="IW15" s="59" t="s">
        <v>96</v>
      </c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34" t="s">
        <v>97</v>
      </c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21"/>
      <c r="JW15" s="11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</row>
    <row r="16" spans="1:336" hidden="1">
      <c r="A16" s="196"/>
      <c r="B16" s="2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6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7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7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7" t="s">
        <v>98</v>
      </c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22"/>
      <c r="JW16" s="11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</row>
    <row r="17" spans="1:313" hidden="1">
      <c r="A17" s="196"/>
      <c r="B17" s="30">
        <v>14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31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27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27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28"/>
      <c r="JW17" s="11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</row>
    <row r="18" spans="1:313" hidden="1">
      <c r="A18" s="193" t="s">
        <v>99</v>
      </c>
      <c r="B18" s="18">
        <v>15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2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25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25"/>
      <c r="IA18" s="49" t="s">
        <v>100</v>
      </c>
      <c r="IB18" s="19"/>
      <c r="IC18" s="19"/>
      <c r="ID18" s="19"/>
      <c r="IE18" s="19"/>
      <c r="IF18" s="19"/>
      <c r="IG18" s="19"/>
      <c r="IH18" s="19"/>
      <c r="II18" s="19"/>
      <c r="IJ18" s="51" t="s">
        <v>101</v>
      </c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57" t="s">
        <v>102</v>
      </c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59" t="s">
        <v>103</v>
      </c>
      <c r="JQ18" s="19"/>
      <c r="JR18" s="19"/>
      <c r="JS18" s="19"/>
      <c r="JT18" s="19"/>
      <c r="JU18" s="19"/>
      <c r="JV18" s="21"/>
      <c r="JW18" s="11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7" t="s">
        <v>104</v>
      </c>
      <c r="KV18" s="5"/>
      <c r="KW18" s="5"/>
      <c r="KX18" s="5"/>
      <c r="KY18" s="5"/>
      <c r="KZ18" s="5"/>
      <c r="LA18" s="5"/>
    </row>
    <row r="19" spans="1:313" hidden="1">
      <c r="A19" s="196"/>
      <c r="B19" s="9">
        <v>16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6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7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7"/>
      <c r="IA19" s="197" t="s">
        <v>105</v>
      </c>
      <c r="IB19" s="198"/>
      <c r="IC19" s="198"/>
      <c r="ID19" s="199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7" t="s">
        <v>106</v>
      </c>
      <c r="JQ19" s="5"/>
      <c r="JR19" s="5"/>
      <c r="JS19" s="5"/>
      <c r="JT19" s="5"/>
      <c r="JU19" s="5"/>
      <c r="JV19" s="22"/>
      <c r="JW19" s="11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</row>
    <row r="20" spans="1:313" hidden="1">
      <c r="A20" s="196"/>
      <c r="B20" s="30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31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27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27"/>
      <c r="IA20" s="50" t="s">
        <v>107</v>
      </c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28"/>
      <c r="JW20" s="11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</row>
    <row r="21" spans="1:313" hidden="1">
      <c r="A21" s="196"/>
      <c r="B21" s="26">
        <v>18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31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27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27"/>
      <c r="IA21" s="12"/>
      <c r="IB21" s="50" t="s">
        <v>108</v>
      </c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58" t="s">
        <v>108</v>
      </c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28"/>
      <c r="JW21" s="11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</row>
    <row r="22" spans="1:313" hidden="1">
      <c r="A22" s="193" t="s">
        <v>109</v>
      </c>
      <c r="B22" s="24">
        <v>19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2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25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25"/>
      <c r="IA22" s="19"/>
      <c r="IB22" s="19"/>
      <c r="IC22" s="51" t="s">
        <v>110</v>
      </c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49" t="s">
        <v>111</v>
      </c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56" t="s">
        <v>112</v>
      </c>
      <c r="JU22" s="19"/>
      <c r="JV22" s="21"/>
      <c r="JW22" s="11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7" t="s">
        <v>113</v>
      </c>
      <c r="KW22" s="5"/>
      <c r="KX22" s="5"/>
      <c r="KY22" s="5"/>
      <c r="KZ22" s="5"/>
      <c r="LA22" s="5"/>
    </row>
    <row r="23" spans="1:313" hidden="1">
      <c r="A23" s="196"/>
      <c r="B23" s="2">
        <v>20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6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7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7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2" t="s">
        <v>114</v>
      </c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22"/>
      <c r="JW23" s="11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</row>
    <row r="24" spans="1:313" hidden="1">
      <c r="A24" s="196"/>
      <c r="B24" s="30">
        <v>21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31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27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27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28"/>
      <c r="JW24" s="11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</row>
    <row r="25" spans="1:313" hidden="1">
      <c r="A25" s="193" t="s">
        <v>115</v>
      </c>
      <c r="B25" s="39">
        <v>22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4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41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41"/>
      <c r="IA25" s="20"/>
      <c r="IB25" s="200" t="s">
        <v>116</v>
      </c>
      <c r="IC25" s="201"/>
      <c r="ID25" s="20"/>
      <c r="IE25" s="20"/>
      <c r="IF25" s="20"/>
      <c r="IG25" s="20"/>
      <c r="IH25" s="20"/>
      <c r="II25" s="20"/>
      <c r="IJ25" s="20"/>
      <c r="IK25" s="51" t="s">
        <v>117</v>
      </c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51" t="s">
        <v>118</v>
      </c>
      <c r="IX25" s="20"/>
      <c r="IY25" s="56" t="s">
        <v>119</v>
      </c>
      <c r="IZ25" s="20"/>
      <c r="JA25" s="20"/>
      <c r="JB25" s="20"/>
      <c r="JC25" s="20"/>
      <c r="JD25" s="56" t="s">
        <v>120</v>
      </c>
      <c r="JE25" s="20"/>
      <c r="JF25" s="20"/>
      <c r="JG25" s="20"/>
      <c r="JH25" s="20"/>
      <c r="JI25" s="56" t="s">
        <v>121</v>
      </c>
      <c r="JJ25" s="20"/>
      <c r="JK25" s="20"/>
      <c r="JL25" s="20"/>
      <c r="JM25" s="56" t="s">
        <v>122</v>
      </c>
      <c r="JN25" s="20"/>
      <c r="JO25" s="20"/>
      <c r="JP25" s="20"/>
      <c r="JQ25" s="20"/>
      <c r="JR25" s="56" t="s">
        <v>123</v>
      </c>
      <c r="JS25" s="20"/>
      <c r="JT25" s="20"/>
      <c r="JU25" s="20"/>
      <c r="JV25" s="42"/>
      <c r="JW25" s="11"/>
      <c r="JX25" s="5"/>
      <c r="JY25" s="5"/>
      <c r="JZ25" s="5"/>
      <c r="KA25" s="5"/>
      <c r="KB25" s="57" t="s">
        <v>124</v>
      </c>
      <c r="KC25" s="5"/>
      <c r="KD25" s="5"/>
      <c r="KE25" s="5"/>
      <c r="KF25" s="5"/>
      <c r="KG25" s="57" t="s">
        <v>26</v>
      </c>
      <c r="KH25" s="5"/>
      <c r="KI25" s="5"/>
      <c r="KJ25" s="5"/>
      <c r="KK25" s="5"/>
      <c r="KL25" s="5"/>
      <c r="KM25" s="57" t="s">
        <v>125</v>
      </c>
      <c r="KN25" s="5"/>
      <c r="KO25" s="5"/>
      <c r="KP25" s="57" t="s">
        <v>126</v>
      </c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</row>
    <row r="26" spans="1:313" hidden="1">
      <c r="A26" s="194"/>
      <c r="B26" s="37">
        <v>23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6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7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7"/>
      <c r="IA26" s="5"/>
      <c r="IB26" s="5"/>
      <c r="IC26" s="52" t="s">
        <v>127</v>
      </c>
      <c r="ID26" s="52"/>
      <c r="IE26" s="5"/>
      <c r="IF26" s="5"/>
      <c r="IG26" s="5"/>
      <c r="IH26" s="5"/>
      <c r="II26" s="5"/>
      <c r="IJ26" s="5"/>
      <c r="IK26" s="52" t="s">
        <v>105</v>
      </c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2" t="s">
        <v>114</v>
      </c>
      <c r="IY26" s="5"/>
      <c r="IZ26" s="5"/>
      <c r="JA26" s="5"/>
      <c r="JB26" s="5"/>
      <c r="JC26" s="5"/>
      <c r="JD26" s="57" t="s">
        <v>128</v>
      </c>
      <c r="JE26" s="5"/>
      <c r="JF26" s="5"/>
      <c r="JG26" s="5"/>
      <c r="JH26" s="5"/>
      <c r="JI26" s="5"/>
      <c r="JJ26" s="5"/>
      <c r="JK26" s="57" t="s">
        <v>129</v>
      </c>
      <c r="JL26" s="5"/>
      <c r="JM26" s="5"/>
      <c r="JN26" s="5"/>
      <c r="JO26" s="5"/>
      <c r="JP26" s="5"/>
      <c r="JQ26" s="5"/>
      <c r="JR26" s="5"/>
      <c r="JS26" s="5"/>
      <c r="JT26" s="38" t="s">
        <v>130</v>
      </c>
      <c r="JU26" s="14"/>
      <c r="JV26" s="22"/>
      <c r="JW26" s="11"/>
      <c r="JX26" s="5"/>
      <c r="JY26" s="5"/>
      <c r="JZ26" s="5"/>
      <c r="KA26" s="5"/>
      <c r="KB26" s="57" t="s">
        <v>131</v>
      </c>
      <c r="KC26" s="5"/>
      <c r="KD26" s="5"/>
      <c r="KE26" s="56" t="s">
        <v>132</v>
      </c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7" t="s">
        <v>133</v>
      </c>
      <c r="KS26" s="5"/>
      <c r="KT26" s="5"/>
      <c r="KU26" s="57" t="s">
        <v>134</v>
      </c>
      <c r="KV26" s="5"/>
      <c r="KW26" s="5"/>
      <c r="KX26" s="5"/>
      <c r="KY26" s="5"/>
      <c r="KZ26" s="57" t="s">
        <v>135</v>
      </c>
      <c r="LA26" s="5"/>
    </row>
    <row r="27" spans="1:313" hidden="1">
      <c r="A27" s="194"/>
      <c r="B27" s="37">
        <v>23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6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7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7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38" t="s">
        <v>136</v>
      </c>
      <c r="IR27" s="5"/>
      <c r="IS27" s="5"/>
      <c r="IT27" s="5"/>
      <c r="IU27" s="5"/>
      <c r="IV27" s="5"/>
      <c r="IW27" s="44"/>
      <c r="IX27" s="52" t="s">
        <v>137</v>
      </c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47"/>
      <c r="JW27" s="11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6" t="s">
        <v>138</v>
      </c>
      <c r="KI27" s="5"/>
      <c r="KJ27" s="5"/>
      <c r="KK27" s="5"/>
      <c r="KL27" s="5"/>
      <c r="KM27" s="5"/>
      <c r="KN27" s="5"/>
      <c r="KO27" s="5"/>
      <c r="KP27" s="5"/>
      <c r="KQ27" s="5"/>
      <c r="KR27" s="57" t="s">
        <v>139</v>
      </c>
      <c r="KS27" s="5"/>
      <c r="KT27" s="5"/>
      <c r="KU27" s="57" t="s">
        <v>140</v>
      </c>
      <c r="KV27" s="5"/>
      <c r="KW27" s="5"/>
      <c r="KX27" s="5"/>
      <c r="KY27" s="5"/>
      <c r="KZ27" s="5"/>
      <c r="LA27" s="5"/>
    </row>
    <row r="28" spans="1:313" hidden="1">
      <c r="A28" s="195"/>
      <c r="B28" s="43">
        <v>24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5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6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6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53" t="s">
        <v>141</v>
      </c>
      <c r="IR28" s="44"/>
      <c r="IS28" s="44"/>
      <c r="IT28" s="44"/>
      <c r="IU28" s="44"/>
      <c r="IV28" s="44"/>
      <c r="IW28" s="53" t="s">
        <v>142</v>
      </c>
      <c r="IX28" s="44"/>
      <c r="IY28" s="44"/>
      <c r="IZ28" s="53" t="s">
        <v>143</v>
      </c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23"/>
      <c r="JW28" s="11"/>
      <c r="JX28" s="5"/>
      <c r="JY28" s="5"/>
      <c r="JZ28" s="5"/>
      <c r="KA28" s="5"/>
      <c r="KB28" s="5"/>
      <c r="KC28" s="5"/>
      <c r="KD28" s="5"/>
      <c r="KE28" s="5"/>
      <c r="KF28" s="5"/>
      <c r="KG28" s="57" t="s">
        <v>144</v>
      </c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7" t="s">
        <v>145</v>
      </c>
      <c r="KV28" s="5"/>
      <c r="KW28" s="5"/>
      <c r="KX28" s="5"/>
      <c r="KY28" s="5"/>
      <c r="KZ28" s="5"/>
      <c r="LA28" s="5"/>
    </row>
    <row r="29" spans="1:313" hidden="1"/>
    <row r="30" spans="1:313" hidden="1">
      <c r="A30" s="36" t="s">
        <v>146</v>
      </c>
    </row>
    <row r="31" spans="1:313" hidden="1">
      <c r="A31" t="s">
        <v>147</v>
      </c>
      <c r="C31" t="s">
        <v>148</v>
      </c>
    </row>
    <row r="32" spans="1:313" hidden="1">
      <c r="C32" s="48" t="s">
        <v>149</v>
      </c>
    </row>
    <row r="33" spans="1:3" hidden="1">
      <c r="C33" s="48" t="s">
        <v>150</v>
      </c>
    </row>
    <row r="34" spans="1:3" hidden="1">
      <c r="C34" t="s">
        <v>151</v>
      </c>
    </row>
    <row r="35" spans="1:3" hidden="1">
      <c r="A35" t="s">
        <v>152</v>
      </c>
      <c r="C35" t="s">
        <v>153</v>
      </c>
    </row>
    <row r="36" spans="1:3" hidden="1">
      <c r="C36" t="s">
        <v>154</v>
      </c>
    </row>
    <row r="37" spans="1:3">
      <c r="A37" s="218" t="s">
        <v>155</v>
      </c>
      <c r="B37" s="218"/>
    </row>
  </sheetData>
  <mergeCells count="104">
    <mergeCell ref="A37:B37"/>
    <mergeCell ref="GI1:HM1"/>
    <mergeCell ref="CJ4:CT4"/>
    <mergeCell ref="CJ5:CT5"/>
    <mergeCell ref="AH6:AP6"/>
    <mergeCell ref="AF5:AS5"/>
    <mergeCell ref="CU1:DY1"/>
    <mergeCell ref="A1:B3"/>
    <mergeCell ref="C1:G1"/>
    <mergeCell ref="H1:AK1"/>
    <mergeCell ref="AL1:BP1"/>
    <mergeCell ref="AU4:BA4"/>
    <mergeCell ref="A4:A14"/>
    <mergeCell ref="Q7:AD7"/>
    <mergeCell ref="C4:P4"/>
    <mergeCell ref="C5:P5"/>
    <mergeCell ref="AU5:BH5"/>
    <mergeCell ref="AU6:BH6"/>
    <mergeCell ref="AU7:BH7"/>
    <mergeCell ref="AU8:BH8"/>
    <mergeCell ref="AO10:AT10"/>
    <mergeCell ref="C8:AE8"/>
    <mergeCell ref="AH7:AP7"/>
    <mergeCell ref="C6:P6"/>
    <mergeCell ref="DZ1:FD1"/>
    <mergeCell ref="FE1:GH1"/>
    <mergeCell ref="DU6:ED6"/>
    <mergeCell ref="DN4:EA4"/>
    <mergeCell ref="CZ5:DB5"/>
    <mergeCell ref="BQ1:CT1"/>
    <mergeCell ref="AF4:AS4"/>
    <mergeCell ref="GB9:GE9"/>
    <mergeCell ref="GF9:GO9"/>
    <mergeCell ref="BI4:BW4"/>
    <mergeCell ref="BX7:CH7"/>
    <mergeCell ref="BQ5:CD5"/>
    <mergeCell ref="CR6:DA6"/>
    <mergeCell ref="EB5:ED5"/>
    <mergeCell ref="EP9:FC9"/>
    <mergeCell ref="EH4:EU4"/>
    <mergeCell ref="EH5:EN5"/>
    <mergeCell ref="EH6:EU6"/>
    <mergeCell ref="EH7:ES7"/>
    <mergeCell ref="DG5:DQ5"/>
    <mergeCell ref="FJ9:FN9"/>
    <mergeCell ref="FO9:GA9"/>
    <mergeCell ref="BQ6:BS6"/>
    <mergeCell ref="FD4:FK4"/>
    <mergeCell ref="FD6:FQ6"/>
    <mergeCell ref="FD5:FN5"/>
    <mergeCell ref="FK7:FR7"/>
    <mergeCell ref="FN8:FY8"/>
    <mergeCell ref="FY5:GI5"/>
    <mergeCell ref="GE6:GN6"/>
    <mergeCell ref="GZ7:HP7"/>
    <mergeCell ref="JZ4:KB4"/>
    <mergeCell ref="JW10:KB10"/>
    <mergeCell ref="FF7:FH7"/>
    <mergeCell ref="HI4:HP4"/>
    <mergeCell ref="HG5:HS5"/>
    <mergeCell ref="GM4:GO4"/>
    <mergeCell ref="GQ5:HB5"/>
    <mergeCell ref="GR6:GY6"/>
    <mergeCell ref="HG6:HS6"/>
    <mergeCell ref="JK7:JY7"/>
    <mergeCell ref="A25:A28"/>
    <mergeCell ref="A15:A17"/>
    <mergeCell ref="A18:A21"/>
    <mergeCell ref="A22:A24"/>
    <mergeCell ref="IA19:ID19"/>
    <mergeCell ref="IB25:IC25"/>
    <mergeCell ref="CU13:DQ13"/>
    <mergeCell ref="CU9:CW9"/>
    <mergeCell ref="CX9:DG9"/>
    <mergeCell ref="K10:W10"/>
    <mergeCell ref="S11:AA11"/>
    <mergeCell ref="HS9:HU9"/>
    <mergeCell ref="GT9:HC9"/>
    <mergeCell ref="HD9:HG9"/>
    <mergeCell ref="GP9:GS9"/>
    <mergeCell ref="KD4:KN4"/>
    <mergeCell ref="KH5:KQ5"/>
    <mergeCell ref="KT7:LF7"/>
    <mergeCell ref="KM6:KZ6"/>
    <mergeCell ref="JY12:JZ12"/>
    <mergeCell ref="JD9:JM9"/>
    <mergeCell ref="JP9:JT9"/>
    <mergeCell ref="JW1:LA1"/>
    <mergeCell ref="JV9:KC9"/>
    <mergeCell ref="IU5:JF5"/>
    <mergeCell ref="IX4:IZ4"/>
    <mergeCell ref="JC6:JF6"/>
    <mergeCell ref="JR5:KD5"/>
    <mergeCell ref="IR1:JV1"/>
    <mergeCell ref="IH10:IT10"/>
    <mergeCell ref="IK11:IR11"/>
    <mergeCell ref="HZ4:IN4"/>
    <mergeCell ref="HZ6:IK6"/>
    <mergeCell ref="HZ7:IJ7"/>
    <mergeCell ref="HZ8:IF8"/>
    <mergeCell ref="HZ9:IN9"/>
    <mergeCell ref="HN1:IQ1"/>
    <mergeCell ref="HW5:IH5"/>
    <mergeCell ref="HN8:HW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6089-2AA9-4F5E-BCAE-C6B66A95C1C2}">
  <dimension ref="A1:OS39"/>
  <sheetViews>
    <sheetView workbookViewId="0">
      <pane xSplit="2" ySplit="2" topLeftCell="JK3" activePane="bottomRight" state="frozen"/>
      <selection pane="bottomRight" activeCell="JL6" sqref="JL6"/>
      <selection pane="bottomLeft"/>
      <selection pane="topRight"/>
    </sheetView>
  </sheetViews>
  <sheetFormatPr defaultRowHeight="15"/>
  <cols>
    <col min="2" max="2" width="3.28515625" bestFit="1" customWidth="1"/>
    <col min="3" max="180" width="6.42578125" customWidth="1"/>
    <col min="181" max="181" width="6.7109375" customWidth="1"/>
    <col min="182" max="350" width="6.42578125" customWidth="1"/>
    <col min="351" max="351" width="5.7109375" customWidth="1"/>
    <col min="352" max="358" width="6.42578125" customWidth="1"/>
    <col min="359" max="359" width="9.7109375" customWidth="1"/>
    <col min="360" max="363" width="6.42578125" customWidth="1"/>
    <col min="364" max="364" width="6.5703125" customWidth="1"/>
    <col min="365" max="367" width="6.42578125" customWidth="1"/>
    <col min="368" max="409" width="6.7109375" customWidth="1"/>
  </cols>
  <sheetData>
    <row r="1" spans="1:409">
      <c r="A1" s="270">
        <f ca="1">TODAY()</f>
        <v>46121</v>
      </c>
      <c r="B1" s="271"/>
      <c r="C1" s="141" t="s">
        <v>10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3"/>
      <c r="AH1" s="150" t="s">
        <v>156</v>
      </c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258" t="s">
        <v>157</v>
      </c>
      <c r="BL1" s="258"/>
      <c r="BM1" s="258"/>
      <c r="BN1" s="258"/>
      <c r="BO1" s="258"/>
      <c r="BP1" s="258"/>
      <c r="BQ1" s="258"/>
      <c r="BR1" s="258"/>
      <c r="BS1" s="258"/>
      <c r="BT1" s="258"/>
      <c r="BU1" s="258"/>
      <c r="BV1" s="258"/>
      <c r="BW1" s="258"/>
      <c r="BX1" s="258"/>
      <c r="BY1" s="258"/>
      <c r="BZ1" s="258"/>
      <c r="CA1" s="258"/>
      <c r="CB1" s="258"/>
      <c r="CC1" s="258"/>
      <c r="CD1" s="258"/>
      <c r="CE1" s="258"/>
      <c r="CF1" s="258"/>
      <c r="CG1" s="258"/>
      <c r="CH1" s="258"/>
      <c r="CI1" s="258"/>
      <c r="CJ1" s="258"/>
      <c r="CK1" s="258"/>
      <c r="CL1" s="258"/>
      <c r="CM1" s="258"/>
      <c r="CN1" s="258"/>
      <c r="CO1" s="258"/>
      <c r="CP1" s="142" t="s">
        <v>158</v>
      </c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2"/>
      <c r="DS1" s="143"/>
      <c r="DT1" s="150" t="s">
        <v>159</v>
      </c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2"/>
      <c r="EX1" s="142"/>
      <c r="EY1" s="150" t="s">
        <v>160</v>
      </c>
      <c r="EZ1" s="142"/>
      <c r="FA1" s="142"/>
      <c r="FB1" s="142"/>
      <c r="FC1" s="142"/>
      <c r="FD1" s="142"/>
      <c r="FE1" s="142"/>
      <c r="FF1" s="142"/>
      <c r="FG1" s="142"/>
      <c r="FH1" s="142"/>
      <c r="FI1" s="142"/>
      <c r="FJ1" s="142"/>
      <c r="FK1" s="142"/>
      <c r="FL1" s="142"/>
      <c r="FM1" s="142"/>
      <c r="FN1" s="142"/>
      <c r="FO1" s="142"/>
      <c r="FP1" s="142"/>
      <c r="FQ1" s="142"/>
      <c r="FR1" s="142"/>
      <c r="FS1" s="142"/>
      <c r="FT1" s="142"/>
      <c r="FU1" s="142"/>
      <c r="FV1" s="142"/>
      <c r="FW1" s="142"/>
      <c r="FX1" s="142"/>
      <c r="FY1" s="142"/>
      <c r="FZ1" s="142"/>
      <c r="GA1" s="142"/>
      <c r="GB1" s="143"/>
      <c r="GC1" s="150" t="s">
        <v>161</v>
      </c>
      <c r="GD1" s="142"/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GR1" s="142"/>
      <c r="GS1" s="142"/>
      <c r="GT1" s="142"/>
      <c r="GU1" s="142"/>
      <c r="GV1" s="142"/>
      <c r="GW1" s="142"/>
      <c r="GX1" s="142"/>
      <c r="GY1" s="142"/>
      <c r="GZ1" s="142"/>
      <c r="HA1" s="142"/>
      <c r="HB1" s="142"/>
      <c r="HC1" s="142"/>
      <c r="HD1" s="142"/>
      <c r="HE1" s="142"/>
      <c r="HF1" s="142"/>
      <c r="HG1" s="142"/>
      <c r="HH1" s="150" t="s">
        <v>162</v>
      </c>
      <c r="HI1" s="142"/>
      <c r="HJ1" s="142"/>
      <c r="HK1" s="142"/>
      <c r="HL1" s="142"/>
      <c r="HM1" s="142"/>
      <c r="HN1" s="142"/>
      <c r="HO1" s="142"/>
      <c r="HP1" s="142"/>
      <c r="HQ1" s="142"/>
      <c r="HR1" s="142"/>
      <c r="HS1" s="142"/>
      <c r="HT1" s="142"/>
      <c r="HU1" s="142"/>
      <c r="HV1" s="142"/>
      <c r="HW1" s="142"/>
      <c r="HX1" s="142"/>
      <c r="HY1" s="142"/>
      <c r="HZ1" s="142"/>
      <c r="IA1" s="142"/>
      <c r="IB1" s="142"/>
      <c r="IC1" s="142"/>
      <c r="ID1" s="142"/>
      <c r="IE1" s="142"/>
      <c r="IF1" s="142"/>
      <c r="IG1" s="142"/>
      <c r="IH1" s="142"/>
      <c r="II1" s="142"/>
      <c r="IJ1" s="142"/>
      <c r="IK1" s="142"/>
      <c r="IL1" s="142"/>
      <c r="IM1" s="150" t="s">
        <v>163</v>
      </c>
      <c r="IN1" s="142"/>
      <c r="IO1" s="142"/>
      <c r="IP1" s="142"/>
      <c r="IQ1" s="142"/>
      <c r="IR1" s="142"/>
      <c r="IS1" s="142"/>
      <c r="IT1" s="142"/>
      <c r="IU1" s="142"/>
      <c r="IV1" s="142"/>
      <c r="IW1" s="142"/>
      <c r="IX1" s="142"/>
      <c r="IY1" s="142"/>
      <c r="IZ1" s="142"/>
      <c r="JA1" s="142"/>
      <c r="JB1" s="142"/>
      <c r="JC1" s="142"/>
      <c r="JD1" s="142"/>
      <c r="JE1" s="142"/>
      <c r="JF1" s="142"/>
      <c r="JG1" s="142"/>
      <c r="JH1" s="142"/>
      <c r="JI1" s="142"/>
      <c r="JJ1" s="142"/>
      <c r="JK1" s="142"/>
      <c r="JL1" s="142"/>
      <c r="JM1" s="142"/>
      <c r="JN1" s="142"/>
      <c r="JO1" s="142"/>
      <c r="JP1" s="143"/>
      <c r="JQ1" s="150" t="s">
        <v>164</v>
      </c>
      <c r="JR1" s="142"/>
      <c r="JS1" s="142"/>
      <c r="JT1" s="142"/>
      <c r="JU1" s="142"/>
      <c r="JV1" s="142"/>
      <c r="JW1" s="142"/>
      <c r="JX1" s="142"/>
      <c r="JY1" s="142"/>
      <c r="JZ1" s="142"/>
      <c r="KA1" s="142"/>
      <c r="KB1" s="142"/>
      <c r="KC1" s="142"/>
      <c r="KD1" s="142"/>
      <c r="KE1" s="142"/>
      <c r="KF1" s="142"/>
      <c r="KG1" s="142"/>
      <c r="KH1" s="142"/>
      <c r="KI1" s="142"/>
      <c r="KJ1" s="142"/>
      <c r="KK1" s="142"/>
      <c r="KL1" s="142"/>
      <c r="KM1" s="142"/>
      <c r="KN1" s="142"/>
      <c r="KO1" s="142"/>
      <c r="KP1" s="142"/>
      <c r="KQ1" s="142"/>
      <c r="KR1" s="142"/>
      <c r="KS1" s="142"/>
      <c r="KT1" s="142"/>
      <c r="KU1" s="142"/>
      <c r="KV1" s="150" t="s">
        <v>165</v>
      </c>
      <c r="KW1" s="142"/>
      <c r="KX1" s="142"/>
      <c r="KY1" s="142"/>
      <c r="KZ1" s="142"/>
      <c r="LA1" s="142"/>
      <c r="LB1" s="142"/>
      <c r="LC1" s="142"/>
      <c r="LD1" s="142"/>
      <c r="LE1" s="142"/>
      <c r="LF1" s="142"/>
      <c r="LG1" s="142"/>
      <c r="LH1" s="142"/>
      <c r="LI1" s="142"/>
      <c r="LJ1" s="142"/>
      <c r="LK1" s="142"/>
      <c r="LL1" s="142"/>
      <c r="LM1" s="142"/>
      <c r="LN1" s="142"/>
      <c r="LO1" s="142"/>
      <c r="LP1" s="142"/>
      <c r="LQ1" s="142"/>
      <c r="LR1" s="142"/>
      <c r="LS1" s="142"/>
      <c r="LT1" s="142"/>
      <c r="LU1" s="142"/>
      <c r="LV1" s="142"/>
      <c r="LW1" s="142"/>
      <c r="LX1" s="142"/>
      <c r="LY1" s="143"/>
      <c r="LZ1" s="150" t="s">
        <v>166</v>
      </c>
      <c r="MA1" s="142"/>
      <c r="MB1" s="142"/>
      <c r="MC1" s="142"/>
      <c r="MD1" s="142"/>
      <c r="ME1" s="142"/>
      <c r="MF1" s="142"/>
      <c r="MG1" s="142"/>
      <c r="MH1" s="142"/>
      <c r="MI1" s="142"/>
      <c r="MJ1" s="142"/>
      <c r="MK1" s="142"/>
      <c r="ML1" s="142"/>
      <c r="MM1" s="142"/>
      <c r="MN1" s="142"/>
      <c r="MO1" s="142"/>
      <c r="MP1" s="142"/>
      <c r="MQ1" s="142"/>
      <c r="MR1" s="142"/>
      <c r="MS1" s="142"/>
      <c r="MT1" s="142"/>
      <c r="MU1" s="142"/>
      <c r="MV1" s="142"/>
      <c r="MW1" s="142"/>
      <c r="MX1" s="142"/>
      <c r="MY1" s="142"/>
      <c r="MZ1" s="142"/>
      <c r="NA1" s="142"/>
      <c r="NB1" s="142"/>
      <c r="NC1" s="142"/>
      <c r="ND1" s="231"/>
      <c r="NE1" s="142" t="s">
        <v>10</v>
      </c>
      <c r="NF1" s="142"/>
      <c r="NG1" s="142"/>
      <c r="NH1" s="142"/>
      <c r="NI1" s="142"/>
      <c r="NJ1" s="142"/>
      <c r="NK1" s="142"/>
      <c r="NL1" s="142"/>
      <c r="NM1" s="142"/>
      <c r="NN1" s="142"/>
      <c r="NO1" s="142"/>
      <c r="NP1" s="142"/>
      <c r="NQ1" s="142"/>
      <c r="NR1" s="142"/>
      <c r="NS1" s="142"/>
      <c r="NT1" s="142"/>
      <c r="NU1" s="142"/>
      <c r="NV1" s="142"/>
      <c r="NW1" s="142"/>
      <c r="NX1" s="142"/>
      <c r="NY1" s="142"/>
      <c r="NZ1" s="142"/>
      <c r="OA1" s="142"/>
      <c r="OB1" s="142"/>
      <c r="OC1" s="142"/>
      <c r="OD1" s="142"/>
      <c r="OE1" s="142"/>
      <c r="OF1" s="142"/>
      <c r="OG1" s="142"/>
      <c r="OH1" s="142"/>
      <c r="OI1" s="231"/>
    </row>
    <row r="2" spans="1:409">
      <c r="A2" s="154">
        <f>SUM(C4:ND4)</f>
        <v>377557</v>
      </c>
      <c r="B2" s="274"/>
      <c r="C2" s="1">
        <v>45292</v>
      </c>
      <c r="D2" s="1">
        <v>45293</v>
      </c>
      <c r="E2" s="1">
        <v>45294</v>
      </c>
      <c r="F2" s="1">
        <v>45295</v>
      </c>
      <c r="G2" s="1">
        <v>45296</v>
      </c>
      <c r="H2" s="1">
        <v>45297</v>
      </c>
      <c r="I2" s="1">
        <v>45298</v>
      </c>
      <c r="J2" s="1">
        <v>45299</v>
      </c>
      <c r="K2" s="1">
        <v>45300</v>
      </c>
      <c r="L2" s="1">
        <v>45301</v>
      </c>
      <c r="M2" s="1">
        <v>45302</v>
      </c>
      <c r="N2" s="1">
        <v>45303</v>
      </c>
      <c r="O2" s="1">
        <v>45304</v>
      </c>
      <c r="P2" s="1">
        <v>45305</v>
      </c>
      <c r="Q2" s="1">
        <v>45306</v>
      </c>
      <c r="R2" s="1">
        <v>45307</v>
      </c>
      <c r="S2" s="1">
        <v>45308</v>
      </c>
      <c r="T2" s="1">
        <v>45309</v>
      </c>
      <c r="U2" s="1">
        <v>45310</v>
      </c>
      <c r="V2" s="1">
        <v>45311</v>
      </c>
      <c r="W2" s="1">
        <v>45312</v>
      </c>
      <c r="X2" s="1">
        <v>45313</v>
      </c>
      <c r="Y2" s="1">
        <v>45314</v>
      </c>
      <c r="Z2" s="1">
        <v>45315</v>
      </c>
      <c r="AA2" s="1">
        <v>45316</v>
      </c>
      <c r="AB2" s="1">
        <v>45317</v>
      </c>
      <c r="AC2" s="1">
        <v>45318</v>
      </c>
      <c r="AD2" s="1">
        <v>45319</v>
      </c>
      <c r="AE2" s="1">
        <v>45320</v>
      </c>
      <c r="AF2" s="1">
        <v>45290</v>
      </c>
      <c r="AG2" s="1">
        <v>45291</v>
      </c>
      <c r="AH2" s="1">
        <v>45323</v>
      </c>
      <c r="AI2" s="1">
        <v>45324</v>
      </c>
      <c r="AJ2" s="1">
        <v>45325</v>
      </c>
      <c r="AK2" s="1">
        <v>45326</v>
      </c>
      <c r="AL2" s="1">
        <v>45327</v>
      </c>
      <c r="AM2" s="54">
        <v>45328</v>
      </c>
      <c r="AN2" s="1">
        <v>45329</v>
      </c>
      <c r="AO2" s="1">
        <v>45330</v>
      </c>
      <c r="AP2" s="1">
        <v>45331</v>
      </c>
      <c r="AQ2" s="54">
        <v>45332</v>
      </c>
      <c r="AR2" s="1">
        <v>45333</v>
      </c>
      <c r="AS2" s="1">
        <v>45334</v>
      </c>
      <c r="AT2" s="1">
        <v>45335</v>
      </c>
      <c r="AU2" s="1">
        <v>45336</v>
      </c>
      <c r="AV2" s="1">
        <v>45337</v>
      </c>
      <c r="AW2" s="1">
        <v>45338</v>
      </c>
      <c r="AX2" s="1">
        <v>45339</v>
      </c>
      <c r="AY2" s="1">
        <v>45340</v>
      </c>
      <c r="AZ2" s="1">
        <v>45341</v>
      </c>
      <c r="BA2" s="1">
        <v>45342</v>
      </c>
      <c r="BB2" s="54">
        <v>45343</v>
      </c>
      <c r="BC2" s="1">
        <v>45344</v>
      </c>
      <c r="BD2" s="1">
        <v>45345</v>
      </c>
      <c r="BE2" s="54">
        <v>45346</v>
      </c>
      <c r="BF2" s="1">
        <v>45347</v>
      </c>
      <c r="BG2" s="1">
        <v>45348</v>
      </c>
      <c r="BH2" s="1">
        <v>45349</v>
      </c>
      <c r="BI2" s="54">
        <v>45350</v>
      </c>
      <c r="BJ2" s="1">
        <v>45351</v>
      </c>
      <c r="BK2" s="4">
        <v>45352</v>
      </c>
      <c r="BL2" s="4">
        <v>45353</v>
      </c>
      <c r="BM2" s="4">
        <v>45354</v>
      </c>
      <c r="BN2" s="4">
        <v>45355</v>
      </c>
      <c r="BO2" s="4">
        <v>45356</v>
      </c>
      <c r="BP2" s="4">
        <v>45357</v>
      </c>
      <c r="BQ2" s="4">
        <v>45358</v>
      </c>
      <c r="BR2" s="4">
        <v>45359</v>
      </c>
      <c r="BS2" s="4">
        <v>45360</v>
      </c>
      <c r="BT2" s="4">
        <v>45361</v>
      </c>
      <c r="BU2" s="4">
        <v>45362</v>
      </c>
      <c r="BV2" s="4">
        <v>45363</v>
      </c>
      <c r="BW2" s="72">
        <v>45364</v>
      </c>
      <c r="BX2" s="4">
        <v>45365</v>
      </c>
      <c r="BY2" s="4">
        <v>45366</v>
      </c>
      <c r="BZ2" s="4">
        <v>45367</v>
      </c>
      <c r="CA2" s="4">
        <v>45368</v>
      </c>
      <c r="CB2" s="4">
        <v>45369</v>
      </c>
      <c r="CC2" s="4">
        <v>45370</v>
      </c>
      <c r="CD2" s="4">
        <v>45371</v>
      </c>
      <c r="CE2" s="4">
        <v>45372</v>
      </c>
      <c r="CF2" s="4">
        <v>45373</v>
      </c>
      <c r="CG2" s="4">
        <v>45374</v>
      </c>
      <c r="CH2" s="4">
        <v>45375</v>
      </c>
      <c r="CI2" s="4">
        <v>45376</v>
      </c>
      <c r="CJ2" s="4">
        <v>45377</v>
      </c>
      <c r="CK2" s="72">
        <v>45378</v>
      </c>
      <c r="CL2" s="4">
        <v>45379</v>
      </c>
      <c r="CM2" s="4">
        <v>45380</v>
      </c>
      <c r="CN2" s="4">
        <v>45381</v>
      </c>
      <c r="CO2" s="4">
        <v>45382</v>
      </c>
      <c r="CP2" s="1">
        <v>45383</v>
      </c>
      <c r="CQ2" s="1">
        <v>45384</v>
      </c>
      <c r="CR2" s="1">
        <v>45385</v>
      </c>
      <c r="CS2" s="1">
        <v>45386</v>
      </c>
      <c r="CT2" s="1">
        <v>45387</v>
      </c>
      <c r="CU2" s="1">
        <v>45388</v>
      </c>
      <c r="CV2" s="1">
        <v>45389</v>
      </c>
      <c r="CW2" s="1">
        <v>45390</v>
      </c>
      <c r="CX2" s="1">
        <v>45391</v>
      </c>
      <c r="CY2" s="1">
        <v>45392</v>
      </c>
      <c r="CZ2" s="1">
        <v>45393</v>
      </c>
      <c r="DA2" s="1">
        <v>45394</v>
      </c>
      <c r="DB2" s="1">
        <v>45395</v>
      </c>
      <c r="DC2" s="1">
        <v>45396</v>
      </c>
      <c r="DD2" s="1">
        <v>45397</v>
      </c>
      <c r="DE2" s="1">
        <v>45398</v>
      </c>
      <c r="DF2" s="1">
        <v>45399</v>
      </c>
      <c r="DG2" s="54">
        <v>45400</v>
      </c>
      <c r="DH2" s="1">
        <v>45401</v>
      </c>
      <c r="DI2" s="1">
        <v>45402</v>
      </c>
      <c r="DJ2" s="1">
        <v>45403</v>
      </c>
      <c r="DK2" s="1">
        <v>45404</v>
      </c>
      <c r="DL2" s="1">
        <v>45405</v>
      </c>
      <c r="DM2" s="1">
        <v>45406</v>
      </c>
      <c r="DN2" s="1">
        <v>45407</v>
      </c>
      <c r="DO2" s="1">
        <v>45408</v>
      </c>
      <c r="DP2" s="1">
        <v>45409</v>
      </c>
      <c r="DQ2" s="1">
        <v>45410</v>
      </c>
      <c r="DR2" s="1">
        <v>45411</v>
      </c>
      <c r="DS2" s="54">
        <v>45412</v>
      </c>
      <c r="DT2" s="54">
        <v>45413</v>
      </c>
      <c r="DU2" s="1">
        <v>45414</v>
      </c>
      <c r="DV2" s="1">
        <v>45415</v>
      </c>
      <c r="DW2" s="1">
        <v>45416</v>
      </c>
      <c r="DX2" s="1">
        <v>45417</v>
      </c>
      <c r="DY2" s="1">
        <v>45418</v>
      </c>
      <c r="DZ2" s="1">
        <v>45419</v>
      </c>
      <c r="EA2" s="54">
        <v>45420</v>
      </c>
      <c r="EB2" s="1">
        <v>45421</v>
      </c>
      <c r="EC2" s="1">
        <v>45422</v>
      </c>
      <c r="ED2" s="1">
        <v>45423</v>
      </c>
      <c r="EE2" s="1">
        <v>45424</v>
      </c>
      <c r="EF2" s="1">
        <v>45425</v>
      </c>
      <c r="EG2" s="1">
        <v>45426</v>
      </c>
      <c r="EH2" s="54">
        <v>45427</v>
      </c>
      <c r="EI2" s="1">
        <v>45428</v>
      </c>
      <c r="EJ2" s="1">
        <v>45429</v>
      </c>
      <c r="EK2" s="1">
        <v>45430</v>
      </c>
      <c r="EL2" s="1">
        <v>45431</v>
      </c>
      <c r="EM2" s="1">
        <v>45432</v>
      </c>
      <c r="EN2" s="1">
        <v>45433</v>
      </c>
      <c r="EO2" s="54">
        <v>45434</v>
      </c>
      <c r="EP2" s="1">
        <v>45435</v>
      </c>
      <c r="EQ2" s="1">
        <v>45436</v>
      </c>
      <c r="ER2" s="1">
        <v>45437</v>
      </c>
      <c r="ES2" s="1">
        <v>45438</v>
      </c>
      <c r="ET2" s="1">
        <v>45439</v>
      </c>
      <c r="EU2" s="1">
        <v>45440</v>
      </c>
      <c r="EV2" s="1">
        <v>45441</v>
      </c>
      <c r="EW2" s="1">
        <v>45442</v>
      </c>
      <c r="EX2" s="1">
        <v>45443</v>
      </c>
      <c r="EY2" s="1">
        <v>45444</v>
      </c>
      <c r="EZ2" s="1">
        <v>45445</v>
      </c>
      <c r="FA2" s="1">
        <v>45446</v>
      </c>
      <c r="FB2" s="1">
        <v>45447</v>
      </c>
      <c r="FC2" s="54">
        <v>45448</v>
      </c>
      <c r="FD2" s="1">
        <v>45449</v>
      </c>
      <c r="FE2" s="1">
        <v>45450</v>
      </c>
      <c r="FF2" s="1">
        <v>45451</v>
      </c>
      <c r="FG2" s="1">
        <v>45452</v>
      </c>
      <c r="FH2" s="1">
        <v>45453</v>
      </c>
      <c r="FI2" s="1">
        <v>45454</v>
      </c>
      <c r="FJ2" s="1">
        <v>45455</v>
      </c>
      <c r="FK2" s="1">
        <v>45456</v>
      </c>
      <c r="FL2" s="1">
        <v>45457</v>
      </c>
      <c r="FM2" s="1">
        <v>45458</v>
      </c>
      <c r="FN2" s="1">
        <v>45459</v>
      </c>
      <c r="FO2" s="1">
        <v>45460</v>
      </c>
      <c r="FP2" s="1">
        <v>45461</v>
      </c>
      <c r="FQ2" s="54">
        <v>45462</v>
      </c>
      <c r="FR2" s="1">
        <v>45463</v>
      </c>
      <c r="FS2" s="1">
        <v>45464</v>
      </c>
      <c r="FT2" s="1">
        <v>45465</v>
      </c>
      <c r="FU2" s="1">
        <v>45466</v>
      </c>
      <c r="FV2" s="1">
        <v>45467</v>
      </c>
      <c r="FW2" s="1">
        <v>45468</v>
      </c>
      <c r="FX2" s="54">
        <v>45469</v>
      </c>
      <c r="FY2" s="1">
        <v>45470</v>
      </c>
      <c r="FZ2" s="1">
        <v>45471</v>
      </c>
      <c r="GA2" s="1">
        <v>45472</v>
      </c>
      <c r="GB2" s="1">
        <v>45473</v>
      </c>
      <c r="GC2" s="1">
        <v>45474</v>
      </c>
      <c r="GD2" s="1">
        <v>45475</v>
      </c>
      <c r="GE2" s="54">
        <v>45476</v>
      </c>
      <c r="GF2" s="1">
        <v>45477</v>
      </c>
      <c r="GG2" s="1">
        <v>45478</v>
      </c>
      <c r="GH2" s="1">
        <v>45479</v>
      </c>
      <c r="GI2" s="1">
        <v>45480</v>
      </c>
      <c r="GJ2" s="1">
        <v>45481</v>
      </c>
      <c r="GK2" s="1">
        <v>45482</v>
      </c>
      <c r="GL2" s="1">
        <v>45483</v>
      </c>
      <c r="GM2" s="1">
        <v>45484</v>
      </c>
      <c r="GN2" s="1">
        <v>45485</v>
      </c>
      <c r="GO2" s="1">
        <v>45486</v>
      </c>
      <c r="GP2" s="1">
        <v>45487</v>
      </c>
      <c r="GQ2" s="1">
        <v>45488</v>
      </c>
      <c r="GR2" s="1">
        <v>45489</v>
      </c>
      <c r="GS2" s="54">
        <v>45490</v>
      </c>
      <c r="GT2" s="1">
        <v>45491</v>
      </c>
      <c r="GU2" s="1">
        <v>45492</v>
      </c>
      <c r="GV2" s="1">
        <v>45493</v>
      </c>
      <c r="GW2" s="1">
        <v>45494</v>
      </c>
      <c r="GX2" s="1">
        <v>45495</v>
      </c>
      <c r="GY2" s="1">
        <v>45496</v>
      </c>
      <c r="GZ2" s="1">
        <v>45497</v>
      </c>
      <c r="HA2" s="1">
        <v>45498</v>
      </c>
      <c r="HB2" s="1">
        <v>45499</v>
      </c>
      <c r="HC2" s="1">
        <v>45500</v>
      </c>
      <c r="HD2" s="1">
        <v>45501</v>
      </c>
      <c r="HE2" s="1">
        <v>45502</v>
      </c>
      <c r="HF2" s="1">
        <v>45503</v>
      </c>
      <c r="HG2" s="54">
        <v>45504</v>
      </c>
      <c r="HH2" s="1">
        <v>45505</v>
      </c>
      <c r="HI2" s="1">
        <v>45506</v>
      </c>
      <c r="HJ2" s="1">
        <v>45507</v>
      </c>
      <c r="HK2" s="1">
        <v>45508</v>
      </c>
      <c r="HL2" s="1">
        <v>45509</v>
      </c>
      <c r="HM2" s="1">
        <v>45510</v>
      </c>
      <c r="HN2" s="1">
        <v>45511</v>
      </c>
      <c r="HO2" s="1">
        <v>45512</v>
      </c>
      <c r="HP2" s="1">
        <v>45513</v>
      </c>
      <c r="HQ2" s="68">
        <v>45514</v>
      </c>
      <c r="HR2" s="1">
        <v>45515</v>
      </c>
      <c r="HS2" s="1">
        <v>45516</v>
      </c>
      <c r="HT2" s="1">
        <v>45517</v>
      </c>
      <c r="HU2" s="54">
        <v>45518</v>
      </c>
      <c r="HV2" s="1">
        <v>45519</v>
      </c>
      <c r="HW2" s="1">
        <v>45520</v>
      </c>
      <c r="HX2" s="1">
        <v>45521</v>
      </c>
      <c r="HY2" s="1">
        <v>45522</v>
      </c>
      <c r="HZ2" s="1">
        <v>45523</v>
      </c>
      <c r="IA2" s="1">
        <v>45524</v>
      </c>
      <c r="IB2" s="1">
        <v>45525</v>
      </c>
      <c r="IC2" s="1">
        <v>45526</v>
      </c>
      <c r="ID2" s="1">
        <v>45527</v>
      </c>
      <c r="IE2" s="1">
        <v>45528</v>
      </c>
      <c r="IF2" s="1">
        <v>45529</v>
      </c>
      <c r="IG2" s="1">
        <v>45530</v>
      </c>
      <c r="IH2" s="1">
        <v>45531</v>
      </c>
      <c r="II2" s="54">
        <v>45532</v>
      </c>
      <c r="IJ2" s="1">
        <v>45533</v>
      </c>
      <c r="IK2" s="1">
        <v>45534</v>
      </c>
      <c r="IL2" s="1">
        <v>45535</v>
      </c>
      <c r="IM2" s="1">
        <v>45536</v>
      </c>
      <c r="IN2" s="1">
        <v>45537</v>
      </c>
      <c r="IO2" s="1">
        <v>45538</v>
      </c>
      <c r="IP2" s="1">
        <v>45539</v>
      </c>
      <c r="IQ2" s="1">
        <v>45540</v>
      </c>
      <c r="IR2" s="1">
        <v>45541</v>
      </c>
      <c r="IS2" s="1">
        <v>45542</v>
      </c>
      <c r="IT2" s="1">
        <v>45543</v>
      </c>
      <c r="IU2" s="1">
        <v>45544</v>
      </c>
      <c r="IV2" s="1">
        <v>45545</v>
      </c>
      <c r="IW2" s="54">
        <v>45546</v>
      </c>
      <c r="IX2" s="1">
        <v>45547</v>
      </c>
      <c r="IY2" s="1">
        <v>45548</v>
      </c>
      <c r="IZ2" s="1">
        <v>45549</v>
      </c>
      <c r="JA2" s="1">
        <v>45550</v>
      </c>
      <c r="JB2" s="1">
        <v>45551</v>
      </c>
      <c r="JC2" s="68">
        <v>45552</v>
      </c>
      <c r="JD2" s="1">
        <v>45553</v>
      </c>
      <c r="JE2" s="1">
        <v>45554</v>
      </c>
      <c r="JF2" s="1">
        <v>45555</v>
      </c>
      <c r="JG2" s="1">
        <v>45556</v>
      </c>
      <c r="JH2" s="1">
        <v>45557</v>
      </c>
      <c r="JI2" s="1">
        <v>45558</v>
      </c>
      <c r="JJ2" s="1">
        <v>45559</v>
      </c>
      <c r="JK2" s="54">
        <v>45560</v>
      </c>
      <c r="JL2" s="1">
        <v>45561</v>
      </c>
      <c r="JM2" s="1">
        <v>45562</v>
      </c>
      <c r="JN2" s="1">
        <v>45563</v>
      </c>
      <c r="JO2" s="1">
        <v>45564</v>
      </c>
      <c r="JP2" s="1">
        <v>45565</v>
      </c>
      <c r="JQ2" s="1">
        <v>45566</v>
      </c>
      <c r="JR2" s="1">
        <v>45567</v>
      </c>
      <c r="JS2" s="1">
        <v>45568</v>
      </c>
      <c r="JT2" s="1">
        <v>45569</v>
      </c>
      <c r="JU2" s="1">
        <v>45570</v>
      </c>
      <c r="JV2" s="1">
        <v>45571</v>
      </c>
      <c r="JW2" s="1">
        <v>45572</v>
      </c>
      <c r="JX2" s="1">
        <v>45573</v>
      </c>
      <c r="JY2" s="54">
        <v>45574</v>
      </c>
      <c r="JZ2" s="1">
        <v>45575</v>
      </c>
      <c r="KA2" s="1">
        <v>45576</v>
      </c>
      <c r="KB2" s="1">
        <v>45577</v>
      </c>
      <c r="KC2" s="1">
        <v>45578</v>
      </c>
      <c r="KD2" s="1">
        <v>45579</v>
      </c>
      <c r="KE2" s="1">
        <v>45580</v>
      </c>
      <c r="KF2" s="54">
        <v>45581</v>
      </c>
      <c r="KG2" s="1">
        <v>45582</v>
      </c>
      <c r="KH2" s="1">
        <v>45583</v>
      </c>
      <c r="KI2" s="1">
        <v>45584</v>
      </c>
      <c r="KJ2" s="1">
        <v>45585</v>
      </c>
      <c r="KK2" s="1">
        <v>45586</v>
      </c>
      <c r="KL2" s="1">
        <v>45587</v>
      </c>
      <c r="KM2" s="1">
        <v>45588</v>
      </c>
      <c r="KN2" s="1">
        <v>45589</v>
      </c>
      <c r="KO2" s="1">
        <v>45590</v>
      </c>
      <c r="KP2" s="1">
        <v>45591</v>
      </c>
      <c r="KQ2" s="1">
        <v>45592</v>
      </c>
      <c r="KR2" s="1">
        <v>45593</v>
      </c>
      <c r="KS2" s="1">
        <v>45594</v>
      </c>
      <c r="KT2" s="54">
        <v>45595</v>
      </c>
      <c r="KU2" s="1">
        <v>45596</v>
      </c>
      <c r="KV2" s="1">
        <v>45597</v>
      </c>
      <c r="KW2" s="1">
        <v>45598</v>
      </c>
      <c r="KX2" s="1">
        <v>45599</v>
      </c>
      <c r="KY2" s="1">
        <v>45600</v>
      </c>
      <c r="KZ2" s="1">
        <v>45601</v>
      </c>
      <c r="LA2" s="1">
        <v>45602</v>
      </c>
      <c r="LB2" s="1">
        <v>45603</v>
      </c>
      <c r="LC2" s="1">
        <v>45604</v>
      </c>
      <c r="LD2" s="1">
        <v>45605</v>
      </c>
      <c r="LE2" s="1">
        <v>45606</v>
      </c>
      <c r="LF2" s="1">
        <v>45607</v>
      </c>
      <c r="LG2" s="1">
        <v>45608</v>
      </c>
      <c r="LH2" s="54">
        <v>45609</v>
      </c>
      <c r="LI2" s="1">
        <v>45610</v>
      </c>
      <c r="LJ2" s="1">
        <v>45611</v>
      </c>
      <c r="LK2" s="1">
        <v>45612</v>
      </c>
      <c r="LL2" s="1">
        <v>45613</v>
      </c>
      <c r="LM2" s="1">
        <v>45614</v>
      </c>
      <c r="LN2" s="1">
        <v>45615</v>
      </c>
      <c r="LO2" s="1">
        <v>45616</v>
      </c>
      <c r="LP2" s="1">
        <v>45617</v>
      </c>
      <c r="LQ2" s="1">
        <v>45618</v>
      </c>
      <c r="LR2" s="1">
        <v>45619</v>
      </c>
      <c r="LS2" s="1">
        <v>45620</v>
      </c>
      <c r="LT2" s="1">
        <v>45621</v>
      </c>
      <c r="LU2" s="1">
        <v>45622</v>
      </c>
      <c r="LV2" s="54">
        <v>45623</v>
      </c>
      <c r="LW2" s="1">
        <v>45624</v>
      </c>
      <c r="LX2" s="1">
        <v>45625</v>
      </c>
      <c r="LY2" s="1">
        <v>45626</v>
      </c>
      <c r="LZ2" s="1">
        <v>45627</v>
      </c>
      <c r="MA2" s="1">
        <v>45628</v>
      </c>
      <c r="MB2" s="1">
        <v>45629</v>
      </c>
      <c r="MC2" s="1">
        <v>45630</v>
      </c>
      <c r="MD2" s="1">
        <v>45631</v>
      </c>
      <c r="ME2" s="1">
        <v>45632</v>
      </c>
      <c r="MF2" s="1">
        <v>45633</v>
      </c>
      <c r="MG2" s="1">
        <v>45634</v>
      </c>
      <c r="MH2" s="1">
        <v>45635</v>
      </c>
      <c r="MI2" s="1">
        <v>45636</v>
      </c>
      <c r="MJ2" s="54">
        <v>45637</v>
      </c>
      <c r="MK2" s="1">
        <v>45638</v>
      </c>
      <c r="ML2" s="1">
        <v>45639</v>
      </c>
      <c r="MM2" s="1">
        <v>45640</v>
      </c>
      <c r="MN2" s="1">
        <v>45641</v>
      </c>
      <c r="MO2" s="1">
        <v>45642</v>
      </c>
      <c r="MP2" s="1">
        <v>45643</v>
      </c>
      <c r="MQ2" s="54">
        <v>45644</v>
      </c>
      <c r="MR2" s="1">
        <v>45645</v>
      </c>
      <c r="MS2" s="1">
        <v>45646</v>
      </c>
      <c r="MT2" s="1">
        <v>45647</v>
      </c>
      <c r="MU2" s="1">
        <v>45648</v>
      </c>
      <c r="MV2" s="1">
        <v>45649</v>
      </c>
      <c r="MW2" s="1">
        <v>45650</v>
      </c>
      <c r="MX2" s="54">
        <v>45651</v>
      </c>
      <c r="MY2" s="1">
        <v>45652</v>
      </c>
      <c r="MZ2" s="1">
        <v>45653</v>
      </c>
      <c r="NA2" s="1">
        <v>45654</v>
      </c>
      <c r="NB2" s="1">
        <v>45655</v>
      </c>
      <c r="NC2" s="1">
        <v>45656</v>
      </c>
      <c r="ND2" s="74">
        <v>45657</v>
      </c>
      <c r="NE2" s="83">
        <v>45658</v>
      </c>
      <c r="NF2" s="1">
        <v>45659</v>
      </c>
      <c r="NG2" s="74">
        <v>45660</v>
      </c>
      <c r="NH2" s="1">
        <v>45661</v>
      </c>
      <c r="NI2" s="1">
        <v>45662</v>
      </c>
      <c r="NJ2" s="74">
        <v>45663</v>
      </c>
      <c r="NK2" s="1">
        <v>45664</v>
      </c>
      <c r="NL2" s="54">
        <v>45665</v>
      </c>
      <c r="NM2" s="74">
        <v>45666</v>
      </c>
      <c r="NN2" s="1">
        <v>45667</v>
      </c>
      <c r="NO2" s="1">
        <v>45668</v>
      </c>
      <c r="NP2" s="74">
        <v>45669</v>
      </c>
      <c r="NQ2" s="1">
        <v>45670</v>
      </c>
      <c r="NR2" s="1">
        <v>45671</v>
      </c>
      <c r="NS2" s="74">
        <v>45672</v>
      </c>
      <c r="NT2" s="1">
        <v>45673</v>
      </c>
      <c r="NU2" s="1">
        <v>45674</v>
      </c>
      <c r="NV2" s="74">
        <v>45675</v>
      </c>
      <c r="NW2" s="1">
        <v>45676</v>
      </c>
      <c r="NX2" s="1">
        <v>45677</v>
      </c>
      <c r="NY2" s="1">
        <v>45678</v>
      </c>
      <c r="NZ2" s="54">
        <v>45679</v>
      </c>
      <c r="OA2" s="74">
        <v>45680</v>
      </c>
      <c r="OB2" s="1">
        <v>45681</v>
      </c>
      <c r="OC2" s="1">
        <v>45682</v>
      </c>
      <c r="OD2" s="74">
        <v>45683</v>
      </c>
      <c r="OE2" s="1">
        <v>45684</v>
      </c>
      <c r="OF2" s="1">
        <v>45685</v>
      </c>
      <c r="OG2" s="74">
        <v>45686</v>
      </c>
      <c r="OH2" s="1">
        <v>45687</v>
      </c>
      <c r="OI2" s="1">
        <v>45688</v>
      </c>
      <c r="OJ2" s="74">
        <v>45689</v>
      </c>
      <c r="OK2" s="1">
        <v>45690</v>
      </c>
      <c r="OL2" s="1">
        <v>45691</v>
      </c>
      <c r="OM2" s="74">
        <v>45692</v>
      </c>
      <c r="ON2" s="1">
        <v>45693</v>
      </c>
      <c r="OO2" s="1">
        <v>45694</v>
      </c>
      <c r="OP2" s="74">
        <v>45695</v>
      </c>
      <c r="OQ2" s="1">
        <v>45696</v>
      </c>
      <c r="OR2" s="1">
        <v>45697</v>
      </c>
      <c r="OS2" s="74">
        <v>45698</v>
      </c>
    </row>
    <row r="3" spans="1:409">
      <c r="A3" s="156">
        <f>A2/554387</f>
        <v>0.68103508920663725</v>
      </c>
      <c r="B3" s="157"/>
      <c r="C3" s="81">
        <v>2</v>
      </c>
      <c r="D3" s="81">
        <v>3</v>
      </c>
      <c r="E3" s="81">
        <v>4</v>
      </c>
      <c r="F3" s="81">
        <v>5</v>
      </c>
      <c r="G3" s="81">
        <v>6</v>
      </c>
      <c r="H3" s="81">
        <v>7</v>
      </c>
      <c r="I3" s="81" t="s">
        <v>11</v>
      </c>
      <c r="J3" s="81">
        <v>2</v>
      </c>
      <c r="K3" s="81">
        <v>3</v>
      </c>
      <c r="L3" s="81">
        <v>4</v>
      </c>
      <c r="M3" s="81">
        <v>5</v>
      </c>
      <c r="N3" s="81">
        <v>6</v>
      </c>
      <c r="O3" s="81">
        <v>7</v>
      </c>
      <c r="P3" s="81" t="s">
        <v>11</v>
      </c>
      <c r="Q3" s="81">
        <v>2</v>
      </c>
      <c r="R3" s="81">
        <v>3</v>
      </c>
      <c r="S3" s="81">
        <v>4</v>
      </c>
      <c r="T3" s="81">
        <v>5</v>
      </c>
      <c r="U3" s="81">
        <v>6</v>
      </c>
      <c r="V3" s="81">
        <v>7</v>
      </c>
      <c r="W3" s="81" t="s">
        <v>11</v>
      </c>
      <c r="X3" s="81">
        <v>2</v>
      </c>
      <c r="Y3" s="81">
        <v>3</v>
      </c>
      <c r="Z3" s="81">
        <v>4</v>
      </c>
      <c r="AA3" s="81">
        <v>5</v>
      </c>
      <c r="AB3" s="81">
        <v>6</v>
      </c>
      <c r="AC3" s="81">
        <v>7</v>
      </c>
      <c r="AD3" s="81" t="s">
        <v>11</v>
      </c>
      <c r="AE3" s="81">
        <v>2</v>
      </c>
      <c r="AF3" s="81">
        <v>3</v>
      </c>
      <c r="AG3" s="81">
        <v>4</v>
      </c>
      <c r="AH3" s="81">
        <v>5</v>
      </c>
      <c r="AI3" s="81">
        <v>6</v>
      </c>
      <c r="AJ3" s="81">
        <v>7</v>
      </c>
      <c r="AK3" s="81" t="s">
        <v>11</v>
      </c>
      <c r="AL3" s="81">
        <v>2</v>
      </c>
      <c r="AM3" s="81">
        <v>3</v>
      </c>
      <c r="AN3" s="81">
        <v>4</v>
      </c>
      <c r="AO3" s="81">
        <v>5</v>
      </c>
      <c r="AP3" s="81">
        <v>6</v>
      </c>
      <c r="AQ3" s="81">
        <v>7</v>
      </c>
      <c r="AR3" s="81" t="s">
        <v>11</v>
      </c>
      <c r="AS3" s="81">
        <v>2</v>
      </c>
      <c r="AT3" s="81">
        <v>3</v>
      </c>
      <c r="AU3" s="81">
        <v>4</v>
      </c>
      <c r="AV3" s="81">
        <v>5</v>
      </c>
      <c r="AW3" s="81">
        <v>6</v>
      </c>
      <c r="AX3" s="81">
        <v>7</v>
      </c>
      <c r="AY3" s="81" t="s">
        <v>11</v>
      </c>
      <c r="AZ3" s="81">
        <v>2</v>
      </c>
      <c r="BA3" s="81">
        <v>3</v>
      </c>
      <c r="BB3" s="81">
        <v>4</v>
      </c>
      <c r="BC3" s="81">
        <v>5</v>
      </c>
      <c r="BD3" s="81">
        <v>6</v>
      </c>
      <c r="BE3" s="81">
        <v>7</v>
      </c>
      <c r="BF3" s="81" t="s">
        <v>11</v>
      </c>
      <c r="BG3" s="81">
        <v>2</v>
      </c>
      <c r="BH3" s="81">
        <v>3</v>
      </c>
      <c r="BI3" s="81">
        <v>4</v>
      </c>
      <c r="BJ3" s="81">
        <v>5</v>
      </c>
      <c r="BK3" s="81">
        <v>6</v>
      </c>
      <c r="BL3" s="81">
        <v>7</v>
      </c>
      <c r="BM3" s="81" t="s">
        <v>11</v>
      </c>
      <c r="BN3" s="81">
        <v>2</v>
      </c>
      <c r="BO3" s="81">
        <v>3</v>
      </c>
      <c r="BP3" s="81">
        <v>4</v>
      </c>
      <c r="BQ3" s="81">
        <v>5</v>
      </c>
      <c r="BR3" s="81">
        <v>6</v>
      </c>
      <c r="BS3" s="81">
        <v>7</v>
      </c>
      <c r="BT3" s="81" t="s">
        <v>11</v>
      </c>
      <c r="BU3" s="81">
        <v>2</v>
      </c>
      <c r="BV3" s="81">
        <v>3</v>
      </c>
      <c r="BW3" s="81">
        <v>4</v>
      </c>
      <c r="BX3" s="81">
        <v>5</v>
      </c>
      <c r="BY3" s="81">
        <v>6</v>
      </c>
      <c r="BZ3" s="81">
        <v>7</v>
      </c>
      <c r="CA3" s="81" t="s">
        <v>11</v>
      </c>
      <c r="CB3" s="81">
        <v>2</v>
      </c>
      <c r="CC3" s="81">
        <v>3</v>
      </c>
      <c r="CD3" s="81">
        <v>4</v>
      </c>
      <c r="CE3" s="81">
        <v>5</v>
      </c>
      <c r="CF3" s="81">
        <v>6</v>
      </c>
      <c r="CG3" s="81">
        <v>7</v>
      </c>
      <c r="CH3" s="81" t="s">
        <v>11</v>
      </c>
      <c r="CI3" s="81">
        <v>2</v>
      </c>
      <c r="CJ3" s="81">
        <v>3</v>
      </c>
      <c r="CK3" s="81">
        <v>4</v>
      </c>
      <c r="CL3" s="81">
        <v>5</v>
      </c>
      <c r="CM3" s="81">
        <v>6</v>
      </c>
      <c r="CN3" s="81">
        <v>7</v>
      </c>
      <c r="CO3" s="81" t="s">
        <v>11</v>
      </c>
      <c r="CP3" s="81">
        <v>2</v>
      </c>
      <c r="CQ3" s="81">
        <v>3</v>
      </c>
      <c r="CR3" s="81">
        <v>4</v>
      </c>
      <c r="CS3" s="81">
        <v>5</v>
      </c>
      <c r="CT3" s="81">
        <v>6</v>
      </c>
      <c r="CU3" s="81">
        <v>7</v>
      </c>
      <c r="CV3" s="81" t="s">
        <v>11</v>
      </c>
      <c r="CW3" s="81">
        <v>2</v>
      </c>
      <c r="CX3" s="81">
        <v>3</v>
      </c>
      <c r="CY3" s="81">
        <v>4</v>
      </c>
      <c r="CZ3" s="81">
        <v>5</v>
      </c>
      <c r="DA3" s="81">
        <v>6</v>
      </c>
      <c r="DB3" s="81">
        <v>7</v>
      </c>
      <c r="DC3" s="81" t="s">
        <v>11</v>
      </c>
      <c r="DD3" s="81">
        <v>2</v>
      </c>
      <c r="DE3" s="81">
        <v>3</v>
      </c>
      <c r="DF3" s="81">
        <v>4</v>
      </c>
      <c r="DG3" s="81">
        <v>5</v>
      </c>
      <c r="DH3" s="81">
        <v>6</v>
      </c>
      <c r="DI3" s="81">
        <v>7</v>
      </c>
      <c r="DJ3" s="81" t="s">
        <v>11</v>
      </c>
      <c r="DK3" s="81">
        <v>2</v>
      </c>
      <c r="DL3" s="81">
        <v>3</v>
      </c>
      <c r="DM3" s="81">
        <v>4</v>
      </c>
      <c r="DN3" s="81">
        <v>5</v>
      </c>
      <c r="DO3" s="81">
        <v>6</v>
      </c>
      <c r="DP3" s="81">
        <v>7</v>
      </c>
      <c r="DQ3" s="81" t="s">
        <v>11</v>
      </c>
      <c r="DR3" s="81">
        <v>2</v>
      </c>
      <c r="DS3" s="81">
        <v>3</v>
      </c>
      <c r="DT3" s="81">
        <v>4</v>
      </c>
      <c r="DU3" s="81">
        <v>5</v>
      </c>
      <c r="DV3" s="81">
        <v>6</v>
      </c>
      <c r="DW3" s="81">
        <v>7</v>
      </c>
      <c r="DX3" s="81" t="s">
        <v>11</v>
      </c>
      <c r="DY3" s="81">
        <v>2</v>
      </c>
      <c r="DZ3" s="81">
        <v>3</v>
      </c>
      <c r="EA3" s="81">
        <v>4</v>
      </c>
      <c r="EB3" s="81">
        <v>5</v>
      </c>
      <c r="EC3" s="81">
        <v>6</v>
      </c>
      <c r="ED3" s="81">
        <v>7</v>
      </c>
      <c r="EE3" s="81" t="s">
        <v>11</v>
      </c>
      <c r="EF3" s="81">
        <v>2</v>
      </c>
      <c r="EG3" s="81">
        <v>3</v>
      </c>
      <c r="EH3" s="81">
        <v>4</v>
      </c>
      <c r="EI3" s="81">
        <v>5</v>
      </c>
      <c r="EJ3" s="81">
        <v>6</v>
      </c>
      <c r="EK3" s="81">
        <v>7</v>
      </c>
      <c r="EL3" s="81" t="s">
        <v>11</v>
      </c>
      <c r="EM3" s="81">
        <v>2</v>
      </c>
      <c r="EN3" s="81">
        <v>3</v>
      </c>
      <c r="EO3" s="81">
        <v>4</v>
      </c>
      <c r="EP3" s="81">
        <v>5</v>
      </c>
      <c r="EQ3" s="81">
        <v>6</v>
      </c>
      <c r="ER3" s="81">
        <v>7</v>
      </c>
      <c r="ES3" s="81" t="s">
        <v>11</v>
      </c>
      <c r="ET3" s="81">
        <v>2</v>
      </c>
      <c r="EU3" s="81">
        <v>3</v>
      </c>
      <c r="EV3" s="81">
        <v>4</v>
      </c>
      <c r="EW3" s="81">
        <v>5</v>
      </c>
      <c r="EX3" s="81">
        <v>6</v>
      </c>
      <c r="EY3" s="81">
        <v>7</v>
      </c>
      <c r="EZ3" s="81" t="s">
        <v>11</v>
      </c>
      <c r="FA3" s="81">
        <v>2</v>
      </c>
      <c r="FB3" s="81">
        <v>3</v>
      </c>
      <c r="FC3" s="81">
        <v>4</v>
      </c>
      <c r="FD3" s="81">
        <v>5</v>
      </c>
      <c r="FE3" s="81">
        <v>6</v>
      </c>
      <c r="FF3" s="81">
        <v>7</v>
      </c>
      <c r="FG3" s="81" t="s">
        <v>11</v>
      </c>
      <c r="FH3" s="81">
        <v>2</v>
      </c>
      <c r="FI3" s="81">
        <v>3</v>
      </c>
      <c r="FJ3" s="81">
        <v>4</v>
      </c>
      <c r="FK3" s="81">
        <v>5</v>
      </c>
      <c r="FL3" s="81">
        <v>6</v>
      </c>
      <c r="FM3" s="81">
        <v>7</v>
      </c>
      <c r="FN3" s="81" t="s">
        <v>11</v>
      </c>
      <c r="FO3" s="81">
        <v>2</v>
      </c>
      <c r="FP3" s="81">
        <v>3</v>
      </c>
      <c r="FQ3" s="81">
        <v>4</v>
      </c>
      <c r="FR3" s="81">
        <v>5</v>
      </c>
      <c r="FS3" s="81">
        <v>6</v>
      </c>
      <c r="FT3" s="81">
        <v>7</v>
      </c>
      <c r="FU3" s="81" t="s">
        <v>11</v>
      </c>
      <c r="FV3" s="81">
        <v>2</v>
      </c>
      <c r="FW3" s="81">
        <v>3</v>
      </c>
      <c r="FX3" s="81">
        <v>4</v>
      </c>
      <c r="FY3" s="81">
        <v>5</v>
      </c>
      <c r="FZ3" s="81">
        <v>6</v>
      </c>
      <c r="GA3" s="81">
        <v>7</v>
      </c>
      <c r="GB3" s="81" t="s">
        <v>11</v>
      </c>
      <c r="GC3" s="81">
        <v>2</v>
      </c>
      <c r="GD3" s="81">
        <v>3</v>
      </c>
      <c r="GE3" s="81">
        <v>4</v>
      </c>
      <c r="GF3" s="81">
        <v>5</v>
      </c>
      <c r="GG3" s="81">
        <v>6</v>
      </c>
      <c r="GH3" s="81">
        <v>7</v>
      </c>
      <c r="GI3" s="81" t="s">
        <v>11</v>
      </c>
      <c r="GJ3" s="81">
        <v>2</v>
      </c>
      <c r="GK3" s="81">
        <v>3</v>
      </c>
      <c r="GL3" s="81">
        <v>4</v>
      </c>
      <c r="GM3" s="81">
        <v>5</v>
      </c>
      <c r="GN3" s="81">
        <v>6</v>
      </c>
      <c r="GO3" s="81">
        <v>7</v>
      </c>
      <c r="GP3" s="81" t="s">
        <v>11</v>
      </c>
      <c r="GQ3" s="81">
        <v>2</v>
      </c>
      <c r="GR3" s="81">
        <v>3</v>
      </c>
      <c r="GS3" s="81">
        <v>4</v>
      </c>
      <c r="GT3" s="81">
        <v>5</v>
      </c>
      <c r="GU3" s="81">
        <v>6</v>
      </c>
      <c r="GV3" s="81">
        <v>7</v>
      </c>
      <c r="GW3" s="81" t="s">
        <v>11</v>
      </c>
      <c r="GX3" s="81">
        <v>2</v>
      </c>
      <c r="GY3" s="81">
        <v>3</v>
      </c>
      <c r="GZ3" s="81">
        <v>4</v>
      </c>
      <c r="HA3" s="81">
        <v>5</v>
      </c>
      <c r="HB3" s="81">
        <v>6</v>
      </c>
      <c r="HC3" s="81">
        <v>7</v>
      </c>
      <c r="HD3" s="81" t="s">
        <v>11</v>
      </c>
      <c r="HE3" s="81">
        <v>2</v>
      </c>
      <c r="HF3" s="81">
        <v>3</v>
      </c>
      <c r="HG3" s="81">
        <v>4</v>
      </c>
      <c r="HH3" s="81">
        <v>5</v>
      </c>
      <c r="HI3" s="81">
        <v>6</v>
      </c>
      <c r="HJ3" s="81">
        <v>7</v>
      </c>
      <c r="HK3" s="81" t="s">
        <v>11</v>
      </c>
      <c r="HL3" s="81">
        <v>2</v>
      </c>
      <c r="HM3" s="81">
        <v>3</v>
      </c>
      <c r="HN3" s="81">
        <v>4</v>
      </c>
      <c r="HO3" s="81">
        <v>5</v>
      </c>
      <c r="HP3" s="81">
        <v>6</v>
      </c>
      <c r="HQ3" s="81">
        <v>7</v>
      </c>
      <c r="HR3" s="81" t="s">
        <v>11</v>
      </c>
      <c r="HS3" s="81">
        <v>2</v>
      </c>
      <c r="HT3" s="81">
        <v>3</v>
      </c>
      <c r="HU3" s="81">
        <v>4</v>
      </c>
      <c r="HV3" s="81">
        <v>5</v>
      </c>
      <c r="HW3" s="81">
        <v>6</v>
      </c>
      <c r="HX3" s="81">
        <v>7</v>
      </c>
      <c r="HY3" s="81" t="s">
        <v>11</v>
      </c>
      <c r="HZ3" s="81">
        <v>2</v>
      </c>
      <c r="IA3" s="81">
        <v>3</v>
      </c>
      <c r="IB3" s="81">
        <v>4</v>
      </c>
      <c r="IC3" s="81">
        <v>5</v>
      </c>
      <c r="ID3" s="81">
        <v>6</v>
      </c>
      <c r="IE3" s="81">
        <v>7</v>
      </c>
      <c r="IF3" s="81" t="s">
        <v>11</v>
      </c>
      <c r="IG3" s="81">
        <v>2</v>
      </c>
      <c r="IH3" s="81">
        <v>3</v>
      </c>
      <c r="II3" s="81">
        <v>4</v>
      </c>
      <c r="IJ3" s="81">
        <v>5</v>
      </c>
      <c r="IK3" s="81">
        <v>6</v>
      </c>
      <c r="IL3" s="81">
        <v>7</v>
      </c>
      <c r="IM3" s="81" t="s">
        <v>11</v>
      </c>
      <c r="IN3" s="81">
        <v>2</v>
      </c>
      <c r="IO3" s="81">
        <v>3</v>
      </c>
      <c r="IP3" s="81">
        <v>4</v>
      </c>
      <c r="IQ3" s="81">
        <v>5</v>
      </c>
      <c r="IR3" s="81">
        <v>6</v>
      </c>
      <c r="IS3" s="81">
        <v>7</v>
      </c>
      <c r="IT3" s="81" t="s">
        <v>11</v>
      </c>
      <c r="IU3" s="81">
        <v>2</v>
      </c>
      <c r="IV3" s="81">
        <v>3</v>
      </c>
      <c r="IW3" s="81">
        <v>4</v>
      </c>
      <c r="IX3" s="81">
        <v>5</v>
      </c>
      <c r="IY3" s="81">
        <v>6</v>
      </c>
      <c r="IZ3" s="81">
        <v>7</v>
      </c>
      <c r="JA3" s="81" t="s">
        <v>11</v>
      </c>
      <c r="JB3" s="81">
        <v>2</v>
      </c>
      <c r="JC3" s="81">
        <v>3</v>
      </c>
      <c r="JD3" s="81">
        <v>4</v>
      </c>
      <c r="JE3" s="81">
        <v>5</v>
      </c>
      <c r="JF3" s="81">
        <v>6</v>
      </c>
      <c r="JG3" s="81">
        <v>7</v>
      </c>
      <c r="JH3" s="81" t="s">
        <v>11</v>
      </c>
      <c r="JI3" s="81">
        <v>2</v>
      </c>
      <c r="JJ3" s="81">
        <v>3</v>
      </c>
      <c r="JK3" s="81">
        <v>4</v>
      </c>
      <c r="JL3" s="81">
        <v>5</v>
      </c>
      <c r="JM3" s="81">
        <v>6</v>
      </c>
      <c r="JN3" s="81">
        <v>7</v>
      </c>
      <c r="JO3" s="81" t="s">
        <v>11</v>
      </c>
      <c r="JP3" s="81">
        <v>2</v>
      </c>
      <c r="JQ3" s="81">
        <v>3</v>
      </c>
      <c r="JR3" s="81">
        <v>4</v>
      </c>
      <c r="JS3" s="81">
        <v>5</v>
      </c>
      <c r="JT3" s="81">
        <v>6</v>
      </c>
      <c r="JU3" s="81">
        <v>7</v>
      </c>
      <c r="JV3" s="81" t="s">
        <v>11</v>
      </c>
      <c r="JW3" s="81">
        <v>2</v>
      </c>
      <c r="JX3" s="81">
        <v>3</v>
      </c>
      <c r="JY3" s="81">
        <v>4</v>
      </c>
      <c r="JZ3" s="81">
        <v>5</v>
      </c>
      <c r="KA3" s="81">
        <v>6</v>
      </c>
      <c r="KB3" s="81">
        <v>7</v>
      </c>
      <c r="KC3" s="81" t="s">
        <v>11</v>
      </c>
      <c r="KD3" s="81">
        <v>2</v>
      </c>
      <c r="KE3" s="81">
        <v>3</v>
      </c>
      <c r="KF3" s="81">
        <v>4</v>
      </c>
      <c r="KG3" s="81">
        <v>5</v>
      </c>
      <c r="KH3" s="81">
        <v>6</v>
      </c>
      <c r="KI3" s="81">
        <v>7</v>
      </c>
      <c r="KJ3" s="81" t="s">
        <v>11</v>
      </c>
      <c r="KK3" s="81">
        <v>2</v>
      </c>
      <c r="KL3" s="81">
        <v>3</v>
      </c>
      <c r="KM3" s="81">
        <v>4</v>
      </c>
      <c r="KN3" s="81">
        <v>5</v>
      </c>
      <c r="KO3" s="81">
        <v>6</v>
      </c>
      <c r="KP3" s="81">
        <v>7</v>
      </c>
      <c r="KQ3" s="81" t="s">
        <v>11</v>
      </c>
      <c r="KR3" s="81">
        <v>2</v>
      </c>
      <c r="KS3" s="81">
        <v>3</v>
      </c>
      <c r="KT3" s="81">
        <v>4</v>
      </c>
      <c r="KU3" s="81">
        <v>5</v>
      </c>
      <c r="KV3" s="81">
        <v>6</v>
      </c>
      <c r="KW3" s="81">
        <v>7</v>
      </c>
      <c r="KX3" s="81" t="s">
        <v>11</v>
      </c>
      <c r="KY3" s="81">
        <v>2</v>
      </c>
      <c r="KZ3" s="81">
        <v>3</v>
      </c>
      <c r="LA3" s="81">
        <v>4</v>
      </c>
      <c r="LB3" s="81">
        <v>5</v>
      </c>
      <c r="LC3" s="81">
        <v>6</v>
      </c>
      <c r="LD3" s="81">
        <v>7</v>
      </c>
      <c r="LE3" s="81" t="s">
        <v>11</v>
      </c>
      <c r="LF3" s="81">
        <v>2</v>
      </c>
      <c r="LG3" s="81">
        <v>3</v>
      </c>
      <c r="LH3" s="81">
        <v>4</v>
      </c>
      <c r="LI3" s="81">
        <v>5</v>
      </c>
      <c r="LJ3" s="81">
        <v>6</v>
      </c>
      <c r="LK3" s="81">
        <v>7</v>
      </c>
      <c r="LL3" s="81" t="s">
        <v>11</v>
      </c>
      <c r="LM3" s="81">
        <v>2</v>
      </c>
      <c r="LN3" s="81">
        <v>3</v>
      </c>
      <c r="LO3" s="81">
        <v>4</v>
      </c>
      <c r="LP3" s="81">
        <v>5</v>
      </c>
      <c r="LQ3" s="81">
        <v>6</v>
      </c>
      <c r="LR3" s="81">
        <v>7</v>
      </c>
      <c r="LS3" s="81" t="s">
        <v>11</v>
      </c>
      <c r="LT3" s="81">
        <v>2</v>
      </c>
      <c r="LU3" s="81">
        <v>3</v>
      </c>
      <c r="LV3" s="81">
        <v>4</v>
      </c>
      <c r="LW3" s="81">
        <v>5</v>
      </c>
      <c r="LX3" s="81">
        <v>6</v>
      </c>
      <c r="LY3" s="81">
        <v>7</v>
      </c>
      <c r="LZ3" s="81" t="s">
        <v>11</v>
      </c>
      <c r="MA3" s="81">
        <v>2</v>
      </c>
      <c r="MB3" s="81">
        <v>3</v>
      </c>
      <c r="MC3" s="81">
        <v>4</v>
      </c>
      <c r="MD3" s="81">
        <v>5</v>
      </c>
      <c r="ME3" s="81">
        <v>6</v>
      </c>
      <c r="MF3" s="81">
        <v>7</v>
      </c>
      <c r="MG3" s="81" t="s">
        <v>11</v>
      </c>
      <c r="MH3" s="81">
        <v>2</v>
      </c>
      <c r="MI3" s="81">
        <v>3</v>
      </c>
      <c r="MJ3" s="81">
        <v>4</v>
      </c>
      <c r="MK3" s="81">
        <v>5</v>
      </c>
      <c r="ML3" s="81">
        <v>6</v>
      </c>
      <c r="MM3" s="81">
        <v>7</v>
      </c>
      <c r="MN3" s="81" t="s">
        <v>11</v>
      </c>
      <c r="MO3" s="81">
        <v>2</v>
      </c>
      <c r="MP3" s="81">
        <v>3</v>
      </c>
      <c r="MQ3" s="81">
        <v>4</v>
      </c>
      <c r="MR3" s="81">
        <v>5</v>
      </c>
      <c r="MS3" s="81">
        <v>6</v>
      </c>
      <c r="MT3" s="81">
        <v>7</v>
      </c>
      <c r="MU3" s="81" t="s">
        <v>11</v>
      </c>
      <c r="MV3" s="81">
        <v>2</v>
      </c>
      <c r="MW3" s="81">
        <v>3</v>
      </c>
      <c r="MX3" s="81">
        <v>4</v>
      </c>
      <c r="MY3" s="81">
        <v>5</v>
      </c>
      <c r="MZ3" s="81">
        <v>6</v>
      </c>
      <c r="NA3" s="81">
        <v>7</v>
      </c>
      <c r="NB3" s="81" t="s">
        <v>11</v>
      </c>
      <c r="NC3" s="81">
        <v>2</v>
      </c>
      <c r="ND3" s="82">
        <v>3</v>
      </c>
      <c r="NE3" s="33">
        <v>4</v>
      </c>
      <c r="NF3" s="3">
        <v>5</v>
      </c>
      <c r="NG3" s="3">
        <v>6</v>
      </c>
      <c r="NH3" s="3">
        <v>7</v>
      </c>
      <c r="NI3" s="3" t="s">
        <v>11</v>
      </c>
      <c r="NJ3" s="3">
        <v>2</v>
      </c>
      <c r="NK3" s="3">
        <v>3</v>
      </c>
      <c r="NL3" s="3">
        <v>4</v>
      </c>
      <c r="NM3" s="3">
        <v>5</v>
      </c>
      <c r="NN3" s="3">
        <v>6</v>
      </c>
      <c r="NO3" s="3">
        <v>7</v>
      </c>
      <c r="NP3" s="3" t="s">
        <v>11</v>
      </c>
      <c r="NQ3" s="3">
        <v>2</v>
      </c>
      <c r="NR3" s="3">
        <v>3</v>
      </c>
      <c r="NS3" s="3">
        <v>4</v>
      </c>
      <c r="NT3" s="3">
        <v>5</v>
      </c>
      <c r="NU3" s="3">
        <v>6</v>
      </c>
      <c r="NV3" s="3">
        <v>7</v>
      </c>
      <c r="NW3" s="3" t="s">
        <v>11</v>
      </c>
      <c r="NX3" s="3">
        <v>2</v>
      </c>
      <c r="NY3" s="3">
        <v>3</v>
      </c>
      <c r="NZ3" s="3">
        <v>4</v>
      </c>
      <c r="OA3" s="3">
        <v>5</v>
      </c>
      <c r="OB3" s="3">
        <v>6</v>
      </c>
      <c r="OC3" s="3">
        <v>7</v>
      </c>
      <c r="OD3" s="3" t="s">
        <v>11</v>
      </c>
      <c r="OE3" s="3">
        <v>2</v>
      </c>
      <c r="OF3" s="3">
        <v>3</v>
      </c>
      <c r="OG3" s="3">
        <v>4</v>
      </c>
      <c r="OH3" s="3">
        <v>5</v>
      </c>
      <c r="OI3" s="3">
        <v>6</v>
      </c>
      <c r="OJ3" s="3">
        <v>7</v>
      </c>
      <c r="OK3" s="3" t="s">
        <v>11</v>
      </c>
      <c r="OL3" s="3">
        <v>2</v>
      </c>
      <c r="OM3" s="3">
        <v>3</v>
      </c>
      <c r="ON3" s="3">
        <v>4</v>
      </c>
      <c r="OO3" s="3">
        <v>5</v>
      </c>
      <c r="OP3" s="3">
        <v>6</v>
      </c>
      <c r="OQ3" s="3">
        <v>7</v>
      </c>
      <c r="OR3" s="3" t="s">
        <v>11</v>
      </c>
      <c r="OS3" s="3">
        <v>2</v>
      </c>
    </row>
    <row r="4" spans="1:409" s="66" customFormat="1">
      <c r="A4" s="272" t="s">
        <v>167</v>
      </c>
      <c r="B4" s="273"/>
      <c r="C4" s="84">
        <f>ROUND(REV!B2/1000000,0)</f>
        <v>1020</v>
      </c>
      <c r="D4" s="85">
        <f>ROUND(REV!C2/1000000,0)</f>
        <v>1167</v>
      </c>
      <c r="E4" s="85">
        <f>ROUND(REV!D2/1000000,0)</f>
        <v>831</v>
      </c>
      <c r="F4" s="85">
        <f>ROUND(REV!E2/1000000,0)</f>
        <v>1386</v>
      </c>
      <c r="G4" s="85">
        <f>ROUND(REV!F2/1000000,0)</f>
        <v>1061</v>
      </c>
      <c r="H4" s="85">
        <f>ROUND(REV!G2/1000000,0)</f>
        <v>1224</v>
      </c>
      <c r="I4" s="85">
        <f>ROUND(REV!H2/1000000,0)</f>
        <v>908</v>
      </c>
      <c r="J4" s="85">
        <f>ROUND(REV!I2/1000000,0)</f>
        <v>2873</v>
      </c>
      <c r="K4" s="85">
        <f>ROUND(REV!J2/1000000,0)</f>
        <v>2239</v>
      </c>
      <c r="L4" s="85">
        <f>ROUND(REV!K2/1000000,0)</f>
        <v>1595</v>
      </c>
      <c r="M4" s="85">
        <f>ROUND(REV!L2/1000000,0)</f>
        <v>1327</v>
      </c>
      <c r="N4" s="85">
        <f>ROUND(REV!M2/1000000,0)</f>
        <v>1580</v>
      </c>
      <c r="O4" s="85">
        <f>ROUND(REV!N2/1000000,0)</f>
        <v>1481</v>
      </c>
      <c r="P4" s="85">
        <f>ROUND(REV!O2/1000000,0)</f>
        <v>1117</v>
      </c>
      <c r="Q4" s="85">
        <f>ROUND(REV!P2/1000000,0)</f>
        <v>1071</v>
      </c>
      <c r="R4" s="85">
        <f>ROUND(REV!Q2/1000000,0)</f>
        <v>1303</v>
      </c>
      <c r="S4" s="85">
        <f>ROUND(REV!R2/1000000,0)</f>
        <v>1684</v>
      </c>
      <c r="T4" s="85">
        <f>ROUND(REV!S2/1000000,0)</f>
        <v>748</v>
      </c>
      <c r="U4" s="85">
        <f>ROUND(REV!T2/1000000,0)</f>
        <v>710</v>
      </c>
      <c r="V4" s="85">
        <f>ROUND(REV!U2/1000000,0)</f>
        <v>717</v>
      </c>
      <c r="W4" s="85">
        <f>ROUND(REV!V2/1000000,0)</f>
        <v>724</v>
      </c>
      <c r="X4" s="85">
        <f>ROUND(REV!W2/1000000,0)</f>
        <v>914</v>
      </c>
      <c r="Y4" s="85">
        <f>ROUND(REV!X2/1000000,0)</f>
        <v>670</v>
      </c>
      <c r="Z4" s="85">
        <f>ROUND(REV!Y2/1000000,0)</f>
        <v>1118</v>
      </c>
      <c r="AA4" s="85">
        <f>ROUND(REV!Z2/1000000,0)</f>
        <v>1166</v>
      </c>
      <c r="AB4" s="85">
        <f>ROUND(REV!AA2/1000000,0)</f>
        <v>948</v>
      </c>
      <c r="AC4" s="85">
        <f>ROUND(REV!AB2/1000000,0)</f>
        <v>874</v>
      </c>
      <c r="AD4" s="85">
        <f>ROUND(REV!AC2/1000000,0)</f>
        <v>964</v>
      </c>
      <c r="AE4" s="85">
        <f>ROUND(REV!AD2/1000000,0)</f>
        <v>954</v>
      </c>
      <c r="AF4" s="85">
        <f>ROUND(REV!AE2/1000000,0)</f>
        <v>716</v>
      </c>
      <c r="AG4" s="85">
        <f>ROUND(REV!AF2/1000000,0)</f>
        <v>1481</v>
      </c>
      <c r="AH4" s="85">
        <f>ROUND(REV!AG2/1000000,0)</f>
        <v>1577</v>
      </c>
      <c r="AI4" s="85">
        <f>ROUND(REV!AH2/1000000,0)</f>
        <v>1129</v>
      </c>
      <c r="AJ4" s="85">
        <f>ROUND(REV!AI2/1000000,0)</f>
        <v>1492</v>
      </c>
      <c r="AK4" s="85">
        <f>ROUND(REV!AJ2/1000000,0)</f>
        <v>1298</v>
      </c>
      <c r="AL4" s="85">
        <f>ROUND(REV!AK2/1000000,0)</f>
        <v>1188</v>
      </c>
      <c r="AM4" s="85">
        <f>ROUND(REV!AL2/1000000,0)</f>
        <v>1041</v>
      </c>
      <c r="AN4" s="85">
        <f>ROUND(REV!AM2/1000000,0)</f>
        <v>1139</v>
      </c>
      <c r="AO4" s="85">
        <f>ROUND(REV!AN2/1000000,0)</f>
        <v>2694</v>
      </c>
      <c r="AP4" s="85">
        <f>ROUND(REV!AO2/1000000,0)</f>
        <v>1420</v>
      </c>
      <c r="AQ4" s="85">
        <f>ROUND(REV!AP2/1000000,0)</f>
        <v>891</v>
      </c>
      <c r="AR4" s="85">
        <f>ROUND(REV!AQ2/1000000,0)</f>
        <v>1126</v>
      </c>
      <c r="AS4" s="85">
        <f>ROUND(REV!AR2/1000000,0)</f>
        <v>796</v>
      </c>
      <c r="AT4" s="85">
        <f>ROUND(REV!AS2/1000000,0)</f>
        <v>917</v>
      </c>
      <c r="AU4" s="85">
        <f>ROUND(REV!AT2/1000000,0)</f>
        <v>1163</v>
      </c>
      <c r="AV4" s="85">
        <f>ROUND(REV!AU2/1000000,0)</f>
        <v>1229</v>
      </c>
      <c r="AW4" s="85">
        <f>ROUND(REV!AV2/1000000,0)</f>
        <v>1521</v>
      </c>
      <c r="AX4" s="85">
        <f>ROUND(REV!AW2/1000000,0)</f>
        <v>1487</v>
      </c>
      <c r="AY4" s="85">
        <f>ROUND(REV!AX2/1000000,0)</f>
        <v>717</v>
      </c>
      <c r="AZ4" s="85">
        <f>ROUND(REV!AY2/1000000,0)</f>
        <v>755</v>
      </c>
      <c r="BA4" s="85">
        <f>ROUND(REV!AZ2/1000000,0)</f>
        <v>1122</v>
      </c>
      <c r="BB4" s="85">
        <f>ROUND(REV!BA2/1000000,0)</f>
        <v>1006</v>
      </c>
      <c r="BC4" s="85">
        <f>ROUND(REV!BB2/1000000,0)</f>
        <v>728</v>
      </c>
      <c r="BD4" s="85">
        <f>ROUND(REV!BC2/1000000,0)</f>
        <v>877</v>
      </c>
      <c r="BE4" s="85">
        <f>ROUND(REV!BD2/1000000,0)</f>
        <v>798</v>
      </c>
      <c r="BF4" s="85">
        <f>ROUND(REV!BE2/1000000,0)</f>
        <v>565</v>
      </c>
      <c r="BG4" s="85">
        <f>ROUND(REV!BF2/1000000,0)</f>
        <v>930</v>
      </c>
      <c r="BH4" s="85">
        <f>ROUND(REV!BG2/1000000,0)</f>
        <v>717</v>
      </c>
      <c r="BI4" s="85">
        <f>ROUND(REV!BH2/1000000,0)</f>
        <v>1168</v>
      </c>
      <c r="BJ4" s="85">
        <f>ROUND(REV!BI2/1000000,0)</f>
        <v>997</v>
      </c>
      <c r="BK4" s="85">
        <f>ROUND(REV!BJ2/1000000,0)</f>
        <v>1081</v>
      </c>
      <c r="BL4" s="85">
        <f>ROUND(REV!BK2/1000000,0)</f>
        <v>1082</v>
      </c>
      <c r="BM4" s="85">
        <f>ROUND(REV!BL2/1000000,0)</f>
        <v>1006</v>
      </c>
      <c r="BN4" s="85">
        <f>ROUND(REV!BM2/1000000,0)</f>
        <v>2791</v>
      </c>
      <c r="BO4" s="85">
        <f>ROUND(REV!BN2/1000000,0)</f>
        <v>2302</v>
      </c>
      <c r="BP4" s="85">
        <f>ROUND(REV!BO2/1000000,0)</f>
        <v>1492</v>
      </c>
      <c r="BQ4" s="85">
        <f>ROUND(REV!BP2/1000000,0)</f>
        <v>1449</v>
      </c>
      <c r="BR4" s="85">
        <f>ROUND(REV!BQ2/1000000,0)</f>
        <v>1857</v>
      </c>
      <c r="BS4" s="85">
        <f>ROUND(REV!BR2/1000000,0)</f>
        <v>1595</v>
      </c>
      <c r="BT4" s="85">
        <f>ROUND(REV!BS2/1000000,0)</f>
        <v>1391</v>
      </c>
      <c r="BU4" s="85">
        <f>ROUND(REV!BT2/1000000,0)</f>
        <v>1300</v>
      </c>
      <c r="BV4" s="85">
        <f>ROUND(REV!BU2/1000000,0)</f>
        <v>1354</v>
      </c>
      <c r="BW4" s="85">
        <f>ROUND(REV!BV2/1000000,0)</f>
        <v>1622</v>
      </c>
      <c r="BX4" s="85">
        <f>ROUND(REV!BW2/1000000,0)</f>
        <v>849</v>
      </c>
      <c r="BY4" s="85">
        <f>ROUND(REV!BX2/1000000,0)</f>
        <v>625</v>
      </c>
      <c r="BZ4" s="85">
        <f>ROUND(REV!BY2/1000000,0)</f>
        <v>858</v>
      </c>
      <c r="CA4" s="85">
        <f>ROUND(REV!BZ2/1000000,0)</f>
        <v>643</v>
      </c>
      <c r="CB4" s="85">
        <f>ROUND(REV!CA2/1000000,0)</f>
        <v>1372</v>
      </c>
      <c r="CC4" s="85">
        <f>ROUND(REV!CB2/1000000,0)</f>
        <v>1199</v>
      </c>
      <c r="CD4" s="85">
        <f>ROUND(REV!CC2/1000000,0)</f>
        <v>1192</v>
      </c>
      <c r="CE4" s="85">
        <f>ROUND(REV!CD2/1000000,0)</f>
        <v>1728</v>
      </c>
      <c r="CF4" s="85">
        <f>ROUND(REV!CE2/1000000,0)</f>
        <v>1378</v>
      </c>
      <c r="CG4" s="85">
        <f>ROUND(REV!CF2/1000000,0)</f>
        <v>1355</v>
      </c>
      <c r="CH4" s="85">
        <f>ROUND(REV!CG2/1000000,0)</f>
        <v>1043</v>
      </c>
      <c r="CI4" s="85">
        <f>ROUND(REV!CH2/1000000,0)</f>
        <v>1265</v>
      </c>
      <c r="CJ4" s="85">
        <f>ROUND(REV!CI2/1000000,0)</f>
        <v>1057</v>
      </c>
      <c r="CK4" s="85">
        <f>ROUND(REV!CJ2/1000000,0)</f>
        <v>1194</v>
      </c>
      <c r="CL4" s="85">
        <f>ROUND(REV!CK2/1000000,0)</f>
        <v>1431</v>
      </c>
      <c r="CM4" s="85">
        <f>ROUND(REV!CL2/1000000,0)</f>
        <v>1348</v>
      </c>
      <c r="CN4" s="85">
        <f>ROUND(REV!CM2/1000000,0)</f>
        <v>1672</v>
      </c>
      <c r="CO4" s="85">
        <f>ROUND(REV!CN2/1000000,0)</f>
        <v>1370</v>
      </c>
      <c r="CP4" s="85">
        <f>ROUND(REV!CO2/1000000,0)</f>
        <v>3120</v>
      </c>
      <c r="CQ4" s="85">
        <f>ROUND(REV!CP2/1000000,0)</f>
        <v>2066</v>
      </c>
      <c r="CR4" s="85">
        <f>ROUND(REV!CQ2/1000000,0)</f>
        <v>1585</v>
      </c>
      <c r="CS4" s="85">
        <f>ROUND(REV!CR2/1000000,0)</f>
        <v>2343</v>
      </c>
      <c r="CT4" s="85">
        <f>ROUND(REV!CS2/1000000,0)</f>
        <v>1566</v>
      </c>
      <c r="CU4" s="85">
        <f>ROUND(REV!CT2/1000000,0)</f>
        <v>1436</v>
      </c>
      <c r="CV4" s="85">
        <f>ROUND(REV!CU2/1000000,0)</f>
        <v>1081</v>
      </c>
      <c r="CW4" s="85">
        <f>ROUND(REV!CV2/1000000,0)</f>
        <v>1284</v>
      </c>
      <c r="CX4" s="85">
        <f>ROUND(REV!CW2/1000000,0)</f>
        <v>806</v>
      </c>
      <c r="CY4" s="85">
        <f>ROUND(REV!CX2/1000000,0)</f>
        <v>518</v>
      </c>
      <c r="CZ4" s="85">
        <f>ROUND(REV!CY2/1000000,0)</f>
        <v>1878</v>
      </c>
      <c r="DA4" s="85">
        <f>ROUND(REV!CZ2/1000000,0)</f>
        <v>1606</v>
      </c>
      <c r="DB4" s="85">
        <f>ROUND(REV!DA2/1000000,0)</f>
        <v>1548</v>
      </c>
      <c r="DC4" s="85">
        <f>ROUND(REV!DB2/1000000,0)</f>
        <v>914</v>
      </c>
      <c r="DD4" s="85">
        <f>ROUND(REV!DC2/1000000,0)</f>
        <v>797</v>
      </c>
      <c r="DE4" s="85">
        <f>ROUND(REV!DD2/1000000,0)</f>
        <v>826</v>
      </c>
      <c r="DF4" s="85">
        <f>ROUND(REV!DE2/1000000,0)</f>
        <v>759</v>
      </c>
      <c r="DG4" s="85">
        <f>ROUND(REV!DF2/1000000,0)</f>
        <v>1020</v>
      </c>
      <c r="DH4" s="85">
        <f>ROUND(REV!DG2/1000000,0)</f>
        <v>834</v>
      </c>
      <c r="DI4" s="85">
        <f>ROUND(REV!DH2/1000000,0)</f>
        <v>907</v>
      </c>
      <c r="DJ4" s="85">
        <f>ROUND(REV!DI2/1000000,0)</f>
        <v>852</v>
      </c>
      <c r="DK4" s="85">
        <f>ROUND(REV!DJ2/1000000,0)</f>
        <v>841</v>
      </c>
      <c r="DL4" s="85">
        <f>ROUND(REV!DK2/1000000,0)</f>
        <v>650</v>
      </c>
      <c r="DM4" s="85">
        <f>ROUND(REV!DL2/1000000,0)</f>
        <v>784</v>
      </c>
      <c r="DN4" s="85">
        <f>ROUND(REV!DM2/1000000,0)</f>
        <v>892</v>
      </c>
      <c r="DO4" s="85">
        <f>ROUND(REV!DN2/1000000,0)</f>
        <v>852</v>
      </c>
      <c r="DP4" s="85">
        <f>ROUND(REV!DO2/1000000,0)</f>
        <v>1039</v>
      </c>
      <c r="DQ4" s="85">
        <f>ROUND(REV!DP2/1000000,0)</f>
        <v>791</v>
      </c>
      <c r="DR4" s="85">
        <f>ROUND(REV!DQ2/1000000,0)</f>
        <v>750</v>
      </c>
      <c r="DS4" s="85">
        <f>ROUND(REV!DR2/1000000,0)</f>
        <v>627</v>
      </c>
      <c r="DT4" s="85">
        <f>ROUND(REV!DS2/1000000,0)</f>
        <v>1631</v>
      </c>
      <c r="DU4" s="85">
        <f>ROUND(REV!DT2/1000000,0)</f>
        <v>2290</v>
      </c>
      <c r="DV4" s="85">
        <f>ROUND(REV!DU2/1000000,0)</f>
        <v>1492</v>
      </c>
      <c r="DW4" s="85">
        <f>ROUND(REV!DV2/1000000,0)</f>
        <v>1325</v>
      </c>
      <c r="DX4" s="85">
        <f>ROUND(REV!DW2/1000000,0)</f>
        <v>1538</v>
      </c>
      <c r="DY4" s="85">
        <f>ROUND(REV!DX2/1000000,0)</f>
        <v>1377</v>
      </c>
      <c r="DZ4" s="85">
        <f>ROUND(REV!DY2/1000000,0)</f>
        <v>1161</v>
      </c>
      <c r="EA4" s="85">
        <f>ROUND(REV!DZ2/1000000,0)</f>
        <v>1337</v>
      </c>
      <c r="EB4" s="85">
        <f>ROUND(REV!EA2/1000000,0)</f>
        <v>1232</v>
      </c>
      <c r="EC4" s="85">
        <f>ROUND(REV!EB2/1000000,0)</f>
        <v>1170</v>
      </c>
      <c r="ED4" s="85">
        <f>ROUND(REV!EC2/1000000,0)</f>
        <v>1119</v>
      </c>
      <c r="EE4" s="85">
        <f>ROUND(REV!ED2/1000000,0)</f>
        <v>1099</v>
      </c>
      <c r="EF4" s="85">
        <f>ROUND(REV!EE2/1000000,0)</f>
        <v>933</v>
      </c>
      <c r="EG4" s="85">
        <f>ROUND(REV!EF2/1000000,0)</f>
        <v>754</v>
      </c>
      <c r="EH4" s="85">
        <f>ROUND(REV!EG2/1000000,0)</f>
        <v>653</v>
      </c>
      <c r="EI4" s="85">
        <f>ROUND(REV!EH2/1000000,0)</f>
        <v>676</v>
      </c>
      <c r="EJ4" s="85">
        <f>ROUND(REV!EI2/1000000,0)</f>
        <v>1078</v>
      </c>
      <c r="EK4" s="85">
        <f>ROUND(REV!EJ2/1000000,0)</f>
        <v>922</v>
      </c>
      <c r="EL4" s="85">
        <f>ROUND(REV!EK2/1000000,0)</f>
        <v>771</v>
      </c>
      <c r="EM4" s="85">
        <f>ROUND(REV!EL2/1000000,0)</f>
        <v>904</v>
      </c>
      <c r="EN4" s="85">
        <f>ROUND(REV!EM2/1000000,0)</f>
        <v>717</v>
      </c>
      <c r="EO4" s="85">
        <f>ROUND(REV!EN2/1000000,0)</f>
        <v>773</v>
      </c>
      <c r="EP4" s="85">
        <f>ROUND(REV!EO2/1000000,0)</f>
        <v>962</v>
      </c>
      <c r="EQ4" s="85">
        <f>ROUND(REV!EP2/1000000,0)</f>
        <v>951</v>
      </c>
      <c r="ER4" s="85">
        <f>ROUND(REV!EQ2/1000000,0)</f>
        <v>768</v>
      </c>
      <c r="ES4" s="85">
        <f>ROUND(REV!ER2/1000000,0)</f>
        <v>807</v>
      </c>
      <c r="ET4" s="85">
        <f>ROUND(REV!ES2/1000000,0)</f>
        <v>820</v>
      </c>
      <c r="EU4" s="85">
        <f>ROUND(REV!ET2/1000000,0)</f>
        <v>654</v>
      </c>
      <c r="EV4" s="85">
        <f>ROUND(REV!EU2/1000000,0)</f>
        <v>1032</v>
      </c>
      <c r="EW4" s="85">
        <f>ROUND(REV!EV2/1000000,0)</f>
        <v>718</v>
      </c>
      <c r="EX4" s="85">
        <f>ROUND(REV!EW2/1000000,0)</f>
        <v>779</v>
      </c>
      <c r="EY4" s="85">
        <f>ROUND(REV!EX2/1000000,0)</f>
        <v>951</v>
      </c>
      <c r="EZ4" s="85">
        <f>ROUND(REV!EY2/1000000,0)</f>
        <v>573</v>
      </c>
      <c r="FA4" s="85">
        <f>ROUND(REV!EZ2/1000000,0)</f>
        <v>2785</v>
      </c>
      <c r="FB4" s="85">
        <f>ROUND(REV!FA2/1000000,0)</f>
        <v>1629</v>
      </c>
      <c r="FC4" s="85">
        <f>ROUND(REV!FB2/1000000,0)</f>
        <v>1492</v>
      </c>
      <c r="FD4" s="85">
        <f>ROUND(REV!FC2/1000000,0)</f>
        <v>1238</v>
      </c>
      <c r="FE4" s="85">
        <f>ROUND(REV!FD2/1000000,0)</f>
        <v>998</v>
      </c>
      <c r="FF4" s="85">
        <f>ROUND(REV!FE2/1000000,0)</f>
        <v>1032</v>
      </c>
      <c r="FG4" s="85">
        <f>ROUND(REV!FF2/1000000,0)</f>
        <v>796</v>
      </c>
      <c r="FH4" s="85">
        <f>ROUND(REV!FG2/1000000,0)</f>
        <v>1403</v>
      </c>
      <c r="FI4" s="85">
        <f>ROUND(REV!FH2/1000000,0)</f>
        <v>1190</v>
      </c>
      <c r="FJ4" s="85">
        <f>ROUND(REV!FI2/1000000,0)</f>
        <v>878</v>
      </c>
      <c r="FK4" s="85">
        <f>ROUND(REV!FJ2/1000000,0)</f>
        <v>770</v>
      </c>
      <c r="FL4" s="85">
        <f>ROUND(REV!FK2/1000000,0)</f>
        <v>1076</v>
      </c>
      <c r="FM4" s="85">
        <f>ROUND(REV!FL2/1000000,0)</f>
        <v>561</v>
      </c>
      <c r="FN4" s="85">
        <f>ROUND(REV!FM2/1000000,0)</f>
        <v>797</v>
      </c>
      <c r="FO4" s="85">
        <f>ROUND(REV!FN2/1000000,0)</f>
        <v>793</v>
      </c>
      <c r="FP4" s="85">
        <f>ROUND(REV!FO2/1000000,0)</f>
        <v>557</v>
      </c>
      <c r="FQ4" s="85">
        <f>ROUND(REV!FP2/1000000,0)</f>
        <v>641</v>
      </c>
      <c r="FR4" s="85">
        <f>ROUND(REV!FQ2/1000000,0)</f>
        <v>724</v>
      </c>
      <c r="FS4" s="85">
        <f>ROUND(REV!FR2/1000000,0)</f>
        <v>492</v>
      </c>
      <c r="FT4" s="85">
        <f>ROUND(REV!FS2/1000000,0)</f>
        <v>787</v>
      </c>
      <c r="FU4" s="85">
        <f>ROUND(REV!FT2/1000000,0)</f>
        <v>744</v>
      </c>
      <c r="FV4" s="85">
        <f>ROUND(REV!FU2/1000000,0)</f>
        <v>623</v>
      </c>
      <c r="FW4" s="85">
        <f>ROUND(REV!FV2/1000000,0)</f>
        <v>612</v>
      </c>
      <c r="FX4" s="85">
        <f>ROUND(REV!FW2/1000000,0)</f>
        <v>855</v>
      </c>
      <c r="FY4" s="85">
        <f>ROUND(REV!FX2/1000000,0)</f>
        <v>652</v>
      </c>
      <c r="FZ4" s="85">
        <f>ROUND(REV!FY2/1000000,0)</f>
        <v>804</v>
      </c>
      <c r="GA4" s="85">
        <f>ROUND(REV!FZ2/1000000,0)</f>
        <v>737</v>
      </c>
      <c r="GB4" s="85">
        <f>ROUND(REV!GA2/1000000,0)</f>
        <v>597</v>
      </c>
      <c r="GC4" s="85">
        <f>ROUND(REV!GB2/1000000,0)</f>
        <v>589</v>
      </c>
      <c r="GD4" s="85">
        <f>ROUND(REV!GC2/1000000,0)</f>
        <v>654</v>
      </c>
      <c r="GE4" s="85">
        <f>ROUND(REV!GD2/1000000,0)</f>
        <v>4048</v>
      </c>
      <c r="GF4" s="85">
        <f>ROUND(REV!GE2/1000000,0)</f>
        <v>1556</v>
      </c>
      <c r="GG4" s="85">
        <f>ROUND(REV!GF2/1000000,0)</f>
        <v>922</v>
      </c>
      <c r="GH4" s="85">
        <f>ROUND(REV!GG2/1000000,0)</f>
        <v>890</v>
      </c>
      <c r="GI4" s="85">
        <f>ROUND(REV!GH2/1000000,0)</f>
        <v>695</v>
      </c>
      <c r="GJ4" s="85">
        <f>ROUND(REV!GI2/1000000,0)</f>
        <v>1366</v>
      </c>
      <c r="GK4" s="85">
        <f>ROUND(REV!GJ2/1000000,0)</f>
        <v>1128</v>
      </c>
      <c r="GL4" s="85">
        <f>ROUND(REV!GK2/1000000,0)</f>
        <v>997</v>
      </c>
      <c r="GM4" s="85">
        <f>ROUND(REV!GL2/1000000,0)</f>
        <v>648</v>
      </c>
      <c r="GN4" s="85">
        <f>ROUND(REV!GM2/1000000,0)</f>
        <v>669</v>
      </c>
      <c r="GO4" s="85">
        <f>ROUND(REV!GN2/1000000,0)</f>
        <v>801</v>
      </c>
      <c r="GP4" s="85">
        <f>ROUND(REV!GO2/1000000,0)</f>
        <v>748</v>
      </c>
      <c r="GQ4" s="85">
        <f>ROUND(REV!GP2/1000000,0)</f>
        <v>521</v>
      </c>
      <c r="GR4" s="85">
        <f>ROUND(REV!GQ2/1000000,0)</f>
        <v>502</v>
      </c>
      <c r="GS4" s="85">
        <f>ROUND(REV!GR2/1000000,0)</f>
        <v>526</v>
      </c>
      <c r="GT4" s="85">
        <f>ROUND(REV!GS2/1000000,0)</f>
        <v>638</v>
      </c>
      <c r="GU4" s="85">
        <f>ROUND(REV!GT2/1000000,0)</f>
        <v>1013</v>
      </c>
      <c r="GV4" s="85">
        <f>ROUND(REV!GU2/1000000,0)</f>
        <v>810</v>
      </c>
      <c r="GW4" s="85">
        <f>ROUND(REV!GV2/1000000,0)</f>
        <v>722</v>
      </c>
      <c r="GX4" s="85">
        <f>ROUND(REV!GW2/1000000,0)</f>
        <v>762</v>
      </c>
      <c r="GY4" s="85">
        <f>ROUND(REV!GX2/1000000,0)</f>
        <v>614</v>
      </c>
      <c r="GZ4" s="85">
        <f>ROUND(REV!GY2/1000000,0)</f>
        <v>664</v>
      </c>
      <c r="HA4" s="85">
        <f>ROUND(REV!GZ2/1000000,0)</f>
        <v>861</v>
      </c>
      <c r="HB4" s="85">
        <f>ROUND(REV!HA2/1000000,0)</f>
        <v>882</v>
      </c>
      <c r="HC4" s="85">
        <f>ROUND(REV!HB2/1000000,0)</f>
        <v>993</v>
      </c>
      <c r="HD4" s="85">
        <f>ROUND(REV!HC2/1000000,0)</f>
        <v>757</v>
      </c>
      <c r="HE4" s="85">
        <f>ROUND(REV!HD2/1000000,0)</f>
        <v>680</v>
      </c>
      <c r="HF4" s="85">
        <f>ROUND(REV!HE2/1000000,0)</f>
        <v>671</v>
      </c>
      <c r="HG4" s="85">
        <f>ROUND(REV!HF2/1000000,0)</f>
        <v>776</v>
      </c>
      <c r="HH4" s="85">
        <f>ROUND(REV!HG2/1000000,0)</f>
        <v>2598</v>
      </c>
      <c r="HI4" s="85">
        <f>ROUND(REV!HH2/1000000,0)</f>
        <v>1467</v>
      </c>
      <c r="HJ4" s="85">
        <f>ROUND(REV!HI2/1000000,0)</f>
        <v>877</v>
      </c>
      <c r="HK4" s="85">
        <f>ROUND(REV!HJ2/1000000,0)</f>
        <v>1530</v>
      </c>
      <c r="HL4" s="85">
        <f>ROUND(REV!HK2/1000000,0)</f>
        <v>1231</v>
      </c>
      <c r="HM4" s="85">
        <f>ROUND(REV!HL2/1000000,0)</f>
        <v>1133</v>
      </c>
      <c r="HN4" s="85">
        <f>ROUND(REV!HM2/1000000,0)</f>
        <v>912</v>
      </c>
      <c r="HO4" s="85">
        <f>ROUND(REV!HN2/1000000,0)</f>
        <v>1215</v>
      </c>
      <c r="HP4" s="85">
        <f>ROUND(REV!HO2/1000000,0)</f>
        <v>1072</v>
      </c>
      <c r="HQ4" s="85">
        <f>ROUND(REV!HP2/1000000,0)</f>
        <v>1096</v>
      </c>
      <c r="HR4" s="85">
        <f>ROUND(REV!HQ2/1000000,0)</f>
        <v>1041</v>
      </c>
      <c r="HS4" s="85">
        <f>ROUND(REV!HR2/1000000,0)</f>
        <v>1084</v>
      </c>
      <c r="HT4" s="85">
        <f>ROUND(REV!HS2/1000000,0)</f>
        <v>735</v>
      </c>
      <c r="HU4" s="85">
        <f>ROUND(REV!HT2/1000000,0)</f>
        <v>726</v>
      </c>
      <c r="HV4" s="85">
        <f>ROUND(REV!HU2/1000000,0)</f>
        <v>545</v>
      </c>
      <c r="HW4" s="85">
        <f>ROUND(REV!HV2/1000000,0)</f>
        <v>543</v>
      </c>
      <c r="HX4" s="85">
        <f>ROUND(REV!HW2/1000000,0)</f>
        <v>712</v>
      </c>
      <c r="HY4" s="85">
        <f>ROUND(REV!HX2/1000000,0)</f>
        <v>1068</v>
      </c>
      <c r="HZ4" s="85">
        <f>ROUND(REV!HY2/1000000,0)</f>
        <v>916</v>
      </c>
      <c r="IA4" s="85">
        <f>ROUND(REV!HZ2/1000000,0)</f>
        <v>938</v>
      </c>
      <c r="IB4" s="85">
        <f>ROUND(REV!IA2/1000000,0)</f>
        <v>740</v>
      </c>
      <c r="IC4" s="85">
        <f>ROUND(REV!IB2/1000000,0)</f>
        <v>664</v>
      </c>
      <c r="ID4" s="85">
        <f>ROUND(REV!IC2/1000000,0)</f>
        <v>1030</v>
      </c>
      <c r="IE4" s="85">
        <f>ROUND(REV!ID2/1000000,0)</f>
        <v>717</v>
      </c>
      <c r="IF4" s="85">
        <f>ROUND(REV!IE2/1000000,0)</f>
        <v>764</v>
      </c>
      <c r="IG4" s="85">
        <f>ROUND(REV!IF2/1000000,0)</f>
        <v>817</v>
      </c>
      <c r="IH4" s="85">
        <f>ROUND(REV!IG2/1000000,0)</f>
        <v>840</v>
      </c>
      <c r="II4" s="85">
        <f>ROUND(REV!IH2/1000000,0)</f>
        <v>647</v>
      </c>
      <c r="IJ4" s="85">
        <f>ROUND(REV!II2/1000000,0)</f>
        <v>1952</v>
      </c>
      <c r="IK4" s="85">
        <f>ROUND(REV!IJ2/1000000,0)</f>
        <v>724</v>
      </c>
      <c r="IL4" s="85">
        <f>ROUND(REV!IK2/1000000,0)</f>
        <v>841</v>
      </c>
      <c r="IM4" s="85">
        <f>ROUND(REV!IL2/1000000,0)</f>
        <v>745</v>
      </c>
      <c r="IN4" s="85">
        <f>ROUND(REV!IM2/1000000,0)</f>
        <v>690</v>
      </c>
      <c r="IO4" s="85">
        <f>ROUND(REV!IN2/1000000,0)</f>
        <v>2322</v>
      </c>
      <c r="IP4" s="85">
        <f>ROUND(REV!IO2/1000000,0)</f>
        <v>1441</v>
      </c>
      <c r="IQ4" s="85">
        <f>ROUND(REV!IP2/1000000,0)</f>
        <v>1013</v>
      </c>
      <c r="IR4" s="85">
        <f>ROUND(REV!IQ2/1000000,0)</f>
        <v>1503</v>
      </c>
      <c r="IS4" s="85">
        <f>ROUND(REV!IR2/1000000,0)</f>
        <v>867</v>
      </c>
      <c r="IT4" s="85">
        <f>ROUND(REV!IS2/1000000,0)</f>
        <v>693</v>
      </c>
      <c r="IU4" s="85">
        <f>ROUND(REV!IT2/1000000,0)</f>
        <v>613</v>
      </c>
      <c r="IV4" s="85">
        <f>ROUND(REV!IU2/1000000,0)</f>
        <v>691</v>
      </c>
      <c r="IW4" s="85">
        <f>ROUND(REV!IV2/1000000,0)</f>
        <v>1109</v>
      </c>
      <c r="IX4" s="85">
        <f>ROUND(REV!IW2/1000000,0)</f>
        <v>1115</v>
      </c>
      <c r="IY4" s="85">
        <f>ROUND(REV!IX2/1000000,0)</f>
        <v>1118</v>
      </c>
      <c r="IZ4" s="85">
        <f>ROUND(REV!IY2/1000000,0)</f>
        <v>1096</v>
      </c>
      <c r="JA4" s="85">
        <f>ROUND(REV!IZ2/1000000,0)</f>
        <v>629</v>
      </c>
      <c r="JB4" s="85">
        <f>ROUND(REV!JA2/1000000,0)</f>
        <v>1057</v>
      </c>
      <c r="JC4" s="85">
        <f>ROUND(REV!JB2/1000000,0)</f>
        <v>704</v>
      </c>
      <c r="JD4" s="85">
        <f>ROUND(REV!JC2/1000000,0)</f>
        <v>632</v>
      </c>
      <c r="JE4" s="85">
        <f>ROUND(REV!JD2/1000000,0)</f>
        <v>502</v>
      </c>
      <c r="JF4" s="85">
        <f>ROUND(REV!JE2/1000000,0)</f>
        <v>986</v>
      </c>
      <c r="JG4" s="85">
        <f>ROUND(REV!JF2/1000000,0)</f>
        <v>902</v>
      </c>
      <c r="JH4" s="85">
        <f>ROUND(REV!JG2/1000000,0)</f>
        <v>693</v>
      </c>
      <c r="JI4" s="85">
        <f>ROUND(REV!JH2/1000000,0)</f>
        <v>775</v>
      </c>
      <c r="JJ4" s="85">
        <f>ROUND(REV!JI2/1000000,0)</f>
        <v>710</v>
      </c>
      <c r="JK4" s="85">
        <f>ROUND(REV!JJ2/1000000,0)</f>
        <v>883</v>
      </c>
      <c r="JL4" s="85">
        <f>ROUND(REV!JK2/1000000,0)</f>
        <v>1139</v>
      </c>
      <c r="JM4" s="85">
        <f>ROUND(REV!JL2/1000000,0)</f>
        <v>755</v>
      </c>
      <c r="JN4" s="85">
        <f>ROUND(REV!JM2/1000000,0)</f>
        <v>598</v>
      </c>
      <c r="JO4" s="85">
        <f>ROUND(REV!JN2/1000000,0)</f>
        <v>572</v>
      </c>
      <c r="JP4" s="85">
        <f>ROUND(REV!JO2/1000000,0)</f>
        <v>564</v>
      </c>
      <c r="JQ4" s="85">
        <f>ROUND(REV!JP2/1000000,0)</f>
        <v>627</v>
      </c>
      <c r="JR4" s="85">
        <f>ROUND(REV!JQ2/1000000,0)</f>
        <v>2106</v>
      </c>
      <c r="JS4" s="85">
        <f>ROUND(REV!JR2/1000000,0)</f>
        <v>1858</v>
      </c>
      <c r="JT4" s="85">
        <f>ROUND(REV!JS2/1000000,0)</f>
        <v>989</v>
      </c>
      <c r="JU4" s="85">
        <f>ROUND(REV!JT2/1000000,0)</f>
        <v>768</v>
      </c>
      <c r="JV4" s="85">
        <f>ROUND(REV!JU2/1000000,0)</f>
        <v>963</v>
      </c>
      <c r="JW4" s="85">
        <f>ROUND(REV!JV2/1000000,0)</f>
        <v>961</v>
      </c>
      <c r="JX4" s="85">
        <f>ROUND(REV!JW2/1000000,0)</f>
        <v>1099</v>
      </c>
      <c r="JY4" s="85">
        <f>ROUND(REV!JX2/1000000,0)</f>
        <v>866</v>
      </c>
      <c r="JZ4" s="85">
        <f>ROUND(REV!JY2/1000000,0)</f>
        <v>815</v>
      </c>
      <c r="KA4" s="86">
        <f>ROUND(REV!JZ2/1000000,0)</f>
        <v>1224</v>
      </c>
      <c r="KB4" s="86">
        <f>ROUND(REV!KA2/1000000,0)</f>
        <v>651</v>
      </c>
      <c r="KC4" s="86">
        <f>ROUND(REV!KB2/1000000,0)</f>
        <v>680</v>
      </c>
      <c r="KD4" s="86">
        <f>ROUND(REV!KC2/1000000,0)</f>
        <v>679</v>
      </c>
      <c r="KE4" s="86">
        <f>ROUND(REV!KD2/1000000,0)</f>
        <v>1041</v>
      </c>
      <c r="KF4" s="86">
        <f>ROUND(REV!KE2/1000000,0)</f>
        <v>1149</v>
      </c>
      <c r="KG4" s="86">
        <f>ROUND(REV!KF2/1000000,0)</f>
        <v>1240</v>
      </c>
      <c r="KH4" s="86">
        <f>ROUND(REV!KG2/1000000,0)</f>
        <v>1078</v>
      </c>
      <c r="KI4" s="86">
        <f>ROUND(REV!KH2/1000000,0)</f>
        <v>751</v>
      </c>
      <c r="KJ4" s="86">
        <f>ROUND(REV!KI2/1000000,0)</f>
        <v>636</v>
      </c>
      <c r="KK4" s="86">
        <f>ROUND(REV!KJ2/1000000,0)</f>
        <v>754</v>
      </c>
      <c r="KL4" s="86">
        <f>ROUND(REV!KK2/1000000,0)</f>
        <v>787</v>
      </c>
      <c r="KM4" s="86">
        <f>ROUND(REV!KL2/1000000,0)</f>
        <v>781</v>
      </c>
      <c r="KN4" s="86">
        <f>ROUND(REV!KM2/1000000,0)</f>
        <v>623</v>
      </c>
      <c r="KO4" s="86">
        <f>ROUND(REV!KN2/1000000,0)</f>
        <v>1053</v>
      </c>
      <c r="KP4" s="86">
        <f>ROUND(REV!KO2/1000000,0)</f>
        <v>1229</v>
      </c>
      <c r="KQ4" s="86">
        <f>ROUND(REV!KP2/1000000,0)</f>
        <v>761</v>
      </c>
      <c r="KR4" s="86">
        <f>ROUND(REV!KQ2/1000000,0)</f>
        <v>725</v>
      </c>
      <c r="KS4" s="86">
        <f>ROUND(REV!KR2/1000000,0)</f>
        <v>1157</v>
      </c>
      <c r="KT4" s="86">
        <f>ROUND(REV!KS2/1000000,0)</f>
        <v>956</v>
      </c>
      <c r="KU4" s="85">
        <f>ROUND(REV!KT2/1000000,0)</f>
        <v>816</v>
      </c>
      <c r="KV4" s="85">
        <f>ROUND(REV!KU2/1000000,0)</f>
        <v>2239</v>
      </c>
      <c r="KW4" s="85">
        <f>ROUND(REV!KV2/1000000,0)</f>
        <v>1361</v>
      </c>
      <c r="KX4" s="85">
        <f>ROUND(REV!KW2/1000000,0)</f>
        <v>1285</v>
      </c>
      <c r="KY4" s="85">
        <f>ROUND(REV!KX2/1000000,0)</f>
        <v>1349</v>
      </c>
      <c r="KZ4" s="85">
        <f>ROUND(REV!KY2/1000000,0)</f>
        <v>991</v>
      </c>
      <c r="LA4" s="85">
        <f>ROUND(REV!KZ2/1000000,0)</f>
        <v>885</v>
      </c>
      <c r="LB4" s="85">
        <f>ROUND(REV!LA2/1000000,0)</f>
        <v>922</v>
      </c>
      <c r="LC4" s="85">
        <f>ROUND(REV!LB2/1000000,0)</f>
        <v>1255</v>
      </c>
      <c r="LD4" s="85">
        <f>ROUND(REV!LC2/1000000,0)</f>
        <v>1012</v>
      </c>
      <c r="LE4" s="85">
        <f>ROUND(REV!LD2/1000000,0)</f>
        <v>908</v>
      </c>
      <c r="LF4" s="85">
        <f>ROUND(REV!LE2/1000000,0)</f>
        <v>1054</v>
      </c>
      <c r="LG4" s="85">
        <f>ROUND(REV!LF2/1000000,0)</f>
        <v>923</v>
      </c>
      <c r="LH4" s="85">
        <f>ROUND(REV!LG2/1000000,0)</f>
        <v>656</v>
      </c>
      <c r="LI4" s="85">
        <f>ROUND(REV!LH2/1000000,0)</f>
        <v>480</v>
      </c>
      <c r="LJ4" s="85">
        <f>ROUND(REV!LI2/1000000,0)</f>
        <v>518</v>
      </c>
      <c r="LK4" s="85">
        <f>ROUND(REV!LJ2/1000000,0)</f>
        <v>846</v>
      </c>
      <c r="LL4" s="85">
        <f>ROUND(REV!LK2/1000000,0)</f>
        <v>490</v>
      </c>
      <c r="LM4" s="85">
        <f>ROUND(REV!LL2/1000000,0)</f>
        <v>511</v>
      </c>
      <c r="LN4" s="86">
        <f>ROUND(REV!LM2/1000000,0)</f>
        <v>850</v>
      </c>
      <c r="LO4" s="86">
        <f>ROUND(REV!LN2/1000000,0)</f>
        <v>1015</v>
      </c>
      <c r="LP4" s="86">
        <f>ROUND(REV!LO2/1000000,0)</f>
        <v>703</v>
      </c>
      <c r="LQ4" s="86">
        <f>ROUND(REV!LP2/1000000,0)</f>
        <v>650</v>
      </c>
      <c r="LR4" s="86">
        <f>ROUND(REV!LQ2/1000000,0)</f>
        <v>711</v>
      </c>
      <c r="LS4" s="86">
        <f>ROUND(REV!LR2/1000000,0)</f>
        <v>755</v>
      </c>
      <c r="LT4" s="86">
        <f>ROUND(REV!LS2/1000000,0)</f>
        <v>846</v>
      </c>
      <c r="LU4" s="86">
        <f>ROUND(REV!LT2/1000000,0)</f>
        <v>836</v>
      </c>
      <c r="LV4" s="86">
        <f>ROUND(REV!LU2/1000000,0)</f>
        <v>605</v>
      </c>
      <c r="LW4" s="86">
        <f>ROUND(REV!LV2/1000000,0)</f>
        <v>676</v>
      </c>
      <c r="LX4" s="86">
        <f>ROUND(REV!LW2/1000000,0)</f>
        <v>922</v>
      </c>
      <c r="LY4" s="86">
        <f>ROUND(REV!LX2/1000000,0)</f>
        <v>823</v>
      </c>
      <c r="LZ4" s="86">
        <f>ROUND(REV!LY2/1000000,0)</f>
        <v>876</v>
      </c>
      <c r="MA4" s="86">
        <f>ROUND(REV!LZ2/1000000,0)</f>
        <v>2470</v>
      </c>
      <c r="MB4" s="86">
        <f>ROUND(REV!MA2/1000000,0)</f>
        <v>1336</v>
      </c>
      <c r="MC4" s="86">
        <f>ROUND(REV!MB2/1000000,0)</f>
        <v>1175</v>
      </c>
      <c r="MD4" s="86">
        <f>ROUND(REV!MC2/1000000,0)</f>
        <v>1467</v>
      </c>
      <c r="ME4" s="86">
        <f>ROUND(REV!MD2/1000000,0)</f>
        <v>1096</v>
      </c>
      <c r="MF4" s="86">
        <f>ROUND(REV!ME2/1000000,0)</f>
        <v>835</v>
      </c>
      <c r="MG4" s="86">
        <f>ROUND(REV!MF2/1000000,0)</f>
        <v>776</v>
      </c>
      <c r="MH4" s="86">
        <f>ROUND(REV!MG2/1000000,0)</f>
        <v>1213</v>
      </c>
      <c r="MI4" s="86">
        <f>ROUND(REV!MH2/1000000,0)</f>
        <v>1135</v>
      </c>
      <c r="MJ4" s="86">
        <f>ROUND(REV!MI2/1000000,0)</f>
        <v>1060</v>
      </c>
      <c r="MK4" s="85">
        <f>ROUND(REV!MJ2/1000000,0)</f>
        <v>785</v>
      </c>
      <c r="ML4" s="85">
        <f>ROUND(REV!MK2/1000000,0)</f>
        <v>638</v>
      </c>
      <c r="MM4" s="85">
        <f>ROUND(REV!ML2/1000000,0)</f>
        <v>622</v>
      </c>
      <c r="MN4" s="85">
        <f>ROUND(REV!MM2/1000000,0)</f>
        <v>541</v>
      </c>
      <c r="MO4" s="85">
        <f>ROUND(REV!MN2/1000000,0)</f>
        <v>652</v>
      </c>
      <c r="MP4" s="85">
        <f>ROUND(REV!MO2/1000000,0)</f>
        <v>505</v>
      </c>
      <c r="MQ4" s="85">
        <f>ROUND(REV!MP2/1000000,0)</f>
        <v>919</v>
      </c>
      <c r="MR4" s="85">
        <f>ROUND(REV!MQ2/1000000,0)</f>
        <v>641</v>
      </c>
      <c r="MS4" s="85">
        <f>ROUND(REV!MR2/1000000,0)</f>
        <v>623</v>
      </c>
      <c r="MT4" s="85">
        <f>ROUND(REV!MS2/1000000,0)</f>
        <v>599</v>
      </c>
      <c r="MU4" s="85">
        <f>ROUND(REV!MT2/1000000,0)</f>
        <v>628</v>
      </c>
      <c r="MV4" s="85">
        <f>ROUND(REV!MU2/1000000,0)</f>
        <v>1227</v>
      </c>
      <c r="MW4" s="85">
        <f>ROUND(REV!MV2/1000000,0)</f>
        <v>1007</v>
      </c>
      <c r="MX4" s="85">
        <f>ROUND(REV!MW2/1000000,0)</f>
        <v>635</v>
      </c>
      <c r="MY4" s="85">
        <f>ROUND(REV!MX2/1000000,0)</f>
        <v>767</v>
      </c>
      <c r="MZ4" s="85">
        <f>ROUND(REV!MY2/1000000,0)</f>
        <v>924</v>
      </c>
      <c r="NA4" s="85">
        <f>ROUND(REV!MZ2/1000000,0)</f>
        <v>789</v>
      </c>
      <c r="NB4" s="85">
        <f>ROUND(REV!NA2/1000000,0)</f>
        <v>693</v>
      </c>
      <c r="NC4" s="85">
        <f>ROUND(REV!NB2/1000000,0)</f>
        <v>701</v>
      </c>
      <c r="ND4" s="87">
        <f>ROUND(REV!NC2/1000000,0)</f>
        <v>765</v>
      </c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5"/>
      <c r="NP4" s="75"/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5"/>
      <c r="OE4" s="75"/>
      <c r="OF4" s="75"/>
      <c r="OG4" s="75"/>
      <c r="OH4" s="75"/>
      <c r="OI4" s="75"/>
      <c r="OJ4" s="5"/>
      <c r="OK4" s="5"/>
      <c r="OL4" s="5"/>
      <c r="OM4" s="5"/>
      <c r="ON4" s="5"/>
      <c r="OO4" s="5"/>
      <c r="OP4" s="5"/>
      <c r="OQ4" s="5"/>
      <c r="OR4" s="5"/>
      <c r="OS4" s="5"/>
    </row>
    <row r="5" spans="1:409">
      <c r="A5" s="226" t="s">
        <v>12</v>
      </c>
      <c r="B5" s="76">
        <v>1</v>
      </c>
      <c r="C5" s="70"/>
      <c r="D5" s="13"/>
      <c r="E5" s="13"/>
      <c r="F5" s="243" t="s">
        <v>22</v>
      </c>
      <c r="G5" s="241"/>
      <c r="H5" s="241"/>
      <c r="I5" s="13"/>
      <c r="J5" s="190" t="s">
        <v>25</v>
      </c>
      <c r="K5" s="191"/>
      <c r="L5" s="191"/>
      <c r="M5" s="191"/>
      <c r="N5" s="191"/>
      <c r="O5" s="191"/>
      <c r="P5" s="191"/>
      <c r="Q5" s="191"/>
      <c r="R5" s="191"/>
      <c r="S5" s="191"/>
      <c r="T5" s="192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90" t="s">
        <v>168</v>
      </c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2"/>
      <c r="BD5" s="13"/>
      <c r="BE5" s="13"/>
      <c r="BF5" s="13"/>
      <c r="BG5" s="13"/>
      <c r="BH5" s="13"/>
      <c r="BI5" s="190" t="s">
        <v>169</v>
      </c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  <c r="BW5" s="192"/>
      <c r="BX5" s="13"/>
      <c r="BY5" s="13"/>
      <c r="BZ5" s="13"/>
      <c r="CA5" s="13"/>
      <c r="CB5" s="13"/>
      <c r="CC5" s="13"/>
      <c r="CD5" s="13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13"/>
      <c r="CQ5" s="13"/>
      <c r="CR5" s="13"/>
      <c r="CS5" s="13"/>
      <c r="CT5" s="13"/>
      <c r="CU5" s="13"/>
      <c r="CV5" s="13"/>
      <c r="CW5" s="13"/>
      <c r="CX5" s="13"/>
      <c r="CY5" s="243" t="s">
        <v>170</v>
      </c>
      <c r="CZ5" s="241"/>
      <c r="DA5" s="241"/>
      <c r="DB5" s="241"/>
      <c r="DC5" s="241"/>
      <c r="DD5" s="241"/>
      <c r="DE5" s="241"/>
      <c r="DF5" s="241"/>
      <c r="DG5" s="241"/>
      <c r="DH5" s="241"/>
      <c r="DI5" s="241"/>
      <c r="DJ5" s="241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243" t="s">
        <v>22</v>
      </c>
      <c r="EB5" s="241"/>
      <c r="EC5" s="241"/>
      <c r="ED5" s="13"/>
      <c r="EE5" s="13"/>
      <c r="EF5" s="243" t="s">
        <v>171</v>
      </c>
      <c r="EG5" s="241"/>
      <c r="EH5" s="241"/>
      <c r="EI5" s="241"/>
      <c r="EJ5" s="241"/>
      <c r="EK5" s="241"/>
      <c r="EL5" s="241"/>
      <c r="EM5" s="244"/>
      <c r="EN5" s="13"/>
      <c r="EO5" s="13"/>
      <c r="EP5" s="13"/>
      <c r="EQ5" s="13"/>
      <c r="ER5" s="13"/>
      <c r="ES5" s="13"/>
      <c r="ET5" s="13"/>
      <c r="EU5" s="13"/>
      <c r="EV5" s="243" t="s">
        <v>172</v>
      </c>
      <c r="EW5" s="241"/>
      <c r="EX5" s="241"/>
      <c r="EY5" s="241"/>
      <c r="EZ5" s="241"/>
      <c r="FA5" s="241"/>
      <c r="FB5" s="241"/>
      <c r="FC5" s="244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243" t="s">
        <v>173</v>
      </c>
      <c r="FO5" s="241"/>
      <c r="FP5" s="241"/>
      <c r="FQ5" s="241"/>
      <c r="FR5" s="241"/>
      <c r="FS5" s="241"/>
      <c r="FT5" s="241"/>
      <c r="FU5" s="241"/>
      <c r="FV5" s="241"/>
      <c r="FW5" s="241"/>
      <c r="FX5" s="244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243" t="s">
        <v>174</v>
      </c>
      <c r="GK5" s="241"/>
      <c r="GL5" s="241"/>
      <c r="GM5" s="13"/>
      <c r="GN5" s="13"/>
      <c r="GO5" s="13"/>
      <c r="GP5" s="13"/>
      <c r="GQ5" s="13"/>
      <c r="GR5" s="62"/>
      <c r="GS5" s="232" t="s">
        <v>175</v>
      </c>
      <c r="GT5" s="232"/>
      <c r="GU5" s="232"/>
      <c r="GV5" s="232"/>
      <c r="GW5" s="232"/>
      <c r="GX5" s="232"/>
      <c r="GY5" s="232"/>
      <c r="GZ5" s="232"/>
      <c r="HA5" s="233"/>
      <c r="HB5" s="233"/>
      <c r="HC5" s="233"/>
      <c r="HD5" s="64"/>
      <c r="HE5" s="65"/>
      <c r="HF5" s="65"/>
      <c r="HG5" s="65"/>
      <c r="HH5" s="65"/>
      <c r="HI5" s="65"/>
      <c r="HJ5" s="69"/>
      <c r="HK5" s="243" t="s">
        <v>176</v>
      </c>
      <c r="HL5" s="241"/>
      <c r="HM5" s="241"/>
      <c r="HN5" s="70"/>
      <c r="HO5" s="13"/>
      <c r="HP5" s="13"/>
      <c r="HQ5" s="13"/>
      <c r="HR5" s="13"/>
      <c r="HS5" s="13"/>
      <c r="HT5" s="13"/>
      <c r="HU5" s="243" t="s">
        <v>177</v>
      </c>
      <c r="HV5" s="241"/>
      <c r="HW5" s="241"/>
      <c r="HX5" s="241"/>
      <c r="HY5" s="232"/>
      <c r="HZ5" s="232"/>
      <c r="IA5" s="232"/>
      <c r="IB5" s="232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255" t="s">
        <v>25</v>
      </c>
      <c r="IP5" s="256"/>
      <c r="IQ5" s="256"/>
      <c r="IR5" s="256"/>
      <c r="IS5" s="256"/>
      <c r="IT5" s="256"/>
      <c r="IU5" s="256"/>
      <c r="IV5" s="256"/>
      <c r="IW5" s="257"/>
      <c r="IX5" s="257"/>
      <c r="IY5" s="257"/>
      <c r="IZ5" s="257"/>
      <c r="JA5" s="257"/>
      <c r="JB5" s="65"/>
      <c r="JC5" s="65"/>
      <c r="JD5" s="65"/>
      <c r="JE5" s="69"/>
      <c r="JF5" s="233" t="s">
        <v>178</v>
      </c>
      <c r="JG5" s="233"/>
      <c r="JH5" s="233"/>
      <c r="JI5" s="233"/>
      <c r="JJ5" s="233"/>
      <c r="JK5" s="233"/>
      <c r="JL5" s="233"/>
      <c r="JM5" s="233"/>
      <c r="JN5" s="233"/>
      <c r="JO5" s="233"/>
      <c r="JP5" s="233"/>
      <c r="JQ5" s="233"/>
      <c r="JR5" s="233"/>
      <c r="JS5" s="65"/>
      <c r="JT5" s="65"/>
      <c r="JU5" s="65"/>
      <c r="JV5" s="65"/>
      <c r="JW5" s="65"/>
      <c r="JX5" s="65"/>
      <c r="JY5" s="70"/>
      <c r="JZ5" s="62"/>
      <c r="KA5" s="177" t="s">
        <v>179</v>
      </c>
      <c r="KB5" s="177"/>
      <c r="KC5" s="177"/>
      <c r="KD5" s="177"/>
      <c r="KE5" s="177"/>
      <c r="KF5" s="230"/>
      <c r="KG5" s="230"/>
      <c r="KH5" s="230"/>
      <c r="KI5" s="230"/>
      <c r="KJ5" s="230"/>
      <c r="KK5" s="230"/>
      <c r="KL5" s="12"/>
      <c r="KM5" s="12"/>
      <c r="KN5" s="12"/>
      <c r="KO5" s="12"/>
      <c r="KP5" s="12"/>
      <c r="KQ5" s="12"/>
      <c r="KR5" s="12"/>
      <c r="KS5" s="12"/>
      <c r="KT5" s="12"/>
      <c r="KU5" s="64"/>
      <c r="KV5" s="64"/>
      <c r="KW5" s="64"/>
      <c r="KX5" s="232" t="s">
        <v>180</v>
      </c>
      <c r="KY5" s="232"/>
      <c r="KZ5" s="232"/>
      <c r="LB5" s="65"/>
      <c r="LC5" s="65"/>
      <c r="LD5" s="65"/>
      <c r="LE5" s="65"/>
      <c r="LF5" s="181" t="s">
        <v>181</v>
      </c>
      <c r="LG5" s="182"/>
      <c r="LH5" s="182"/>
      <c r="LI5" s="182"/>
      <c r="LJ5" s="182"/>
      <c r="LK5" s="186"/>
      <c r="LL5" s="65"/>
      <c r="LM5" s="69"/>
      <c r="LN5" s="177" t="s">
        <v>182</v>
      </c>
      <c r="LO5" s="177"/>
      <c r="LP5" s="177"/>
      <c r="LQ5" s="177"/>
      <c r="LR5" s="177"/>
      <c r="LS5" s="177"/>
      <c r="LT5" s="230"/>
      <c r="LU5" s="230"/>
      <c r="LV5" s="230"/>
      <c r="LW5" s="230"/>
      <c r="LX5" s="230"/>
      <c r="LY5" s="230"/>
      <c r="LZ5" s="230"/>
      <c r="MA5" s="55"/>
      <c r="MB5" s="12"/>
      <c r="MC5" s="238" t="s">
        <v>183</v>
      </c>
      <c r="MD5" s="238"/>
      <c r="ME5" s="238"/>
      <c r="MF5" s="238"/>
      <c r="MG5" s="238"/>
      <c r="MH5" s="238"/>
      <c r="MI5" s="238"/>
      <c r="MJ5" s="238"/>
      <c r="MK5" s="275" t="s">
        <v>184</v>
      </c>
      <c r="ML5" s="276"/>
      <c r="MM5" s="236" t="s">
        <v>185</v>
      </c>
      <c r="MN5" s="237"/>
      <c r="MO5" s="236" t="s">
        <v>186</v>
      </c>
      <c r="MP5" s="237"/>
      <c r="MQ5" s="234" t="s">
        <v>187</v>
      </c>
      <c r="MR5" s="235"/>
      <c r="MS5" s="236" t="s">
        <v>188</v>
      </c>
      <c r="MT5" s="237"/>
      <c r="MU5" s="80" t="s">
        <v>189</v>
      </c>
      <c r="MV5" s="181" t="s">
        <v>190</v>
      </c>
      <c r="MW5" s="182"/>
      <c r="MX5" s="182"/>
      <c r="MY5" s="182"/>
      <c r="MZ5" s="182"/>
      <c r="NA5" s="182"/>
      <c r="NB5" s="182"/>
      <c r="NC5" s="182"/>
      <c r="ND5" s="182"/>
      <c r="NE5" s="182"/>
      <c r="NF5" s="182"/>
      <c r="NG5" s="182"/>
      <c r="NH5" s="186"/>
      <c r="NI5" s="5"/>
      <c r="NJ5" s="177" t="s">
        <v>22</v>
      </c>
      <c r="NK5" s="177"/>
      <c r="NL5" s="177"/>
      <c r="NM5" s="5"/>
      <c r="NN5" s="5"/>
      <c r="NO5" s="5"/>
      <c r="NP5" s="5"/>
      <c r="NQ5" s="5"/>
      <c r="NR5" s="5"/>
      <c r="NS5" s="13"/>
      <c r="NT5" s="13"/>
      <c r="NU5" s="13"/>
      <c r="NV5" s="13"/>
      <c r="NW5" s="13"/>
      <c r="NX5" s="13"/>
      <c r="NY5" s="227" t="s">
        <v>191</v>
      </c>
      <c r="NZ5" s="228"/>
      <c r="OA5" s="228"/>
      <c r="OB5" s="228"/>
      <c r="OC5" s="228"/>
      <c r="OD5" s="228"/>
      <c r="OE5" s="228"/>
      <c r="OF5" s="228"/>
      <c r="OG5" s="228"/>
      <c r="OH5" s="228"/>
      <c r="OI5" s="229"/>
      <c r="OJ5" s="5"/>
      <c r="OK5" s="5"/>
      <c r="OL5" s="5"/>
      <c r="OM5" s="5"/>
      <c r="ON5" s="5"/>
      <c r="OO5" s="5"/>
      <c r="OP5" s="5"/>
      <c r="OQ5" s="5"/>
      <c r="OR5" s="5"/>
      <c r="OS5" s="5"/>
    </row>
    <row r="6" spans="1:409">
      <c r="A6" s="226"/>
      <c r="B6" s="9">
        <v>2</v>
      </c>
      <c r="C6" s="5"/>
      <c r="D6" s="5"/>
      <c r="E6" s="5"/>
      <c r="F6" s="5"/>
      <c r="G6" s="5"/>
      <c r="H6" s="5"/>
      <c r="I6" s="5"/>
      <c r="J6" s="5"/>
      <c r="K6" s="5"/>
      <c r="L6" s="13"/>
      <c r="M6" s="13"/>
      <c r="N6" s="124" t="s">
        <v>192</v>
      </c>
      <c r="O6" s="125"/>
      <c r="P6" s="125"/>
      <c r="Q6" s="125"/>
      <c r="R6" s="125"/>
      <c r="S6" s="125"/>
      <c r="T6" s="125"/>
      <c r="U6" s="125"/>
      <c r="V6" s="125"/>
      <c r="W6" s="126"/>
      <c r="X6" s="5"/>
      <c r="Y6" s="5"/>
      <c r="Z6" s="5"/>
      <c r="AA6" s="5"/>
      <c r="AB6" s="55"/>
      <c r="AC6" s="12"/>
      <c r="AD6" s="12"/>
      <c r="AE6" s="12"/>
      <c r="AF6" s="12"/>
      <c r="AG6" s="12"/>
      <c r="AH6" s="122" t="s">
        <v>193</v>
      </c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5"/>
      <c r="BD6" s="122" t="s">
        <v>194</v>
      </c>
      <c r="BE6" s="123"/>
      <c r="BF6" s="123"/>
      <c r="BG6" s="123"/>
      <c r="BH6" s="5"/>
      <c r="BI6" s="122" t="s">
        <v>195</v>
      </c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65"/>
      <c r="BX6" s="5"/>
      <c r="BY6" s="5"/>
      <c r="BZ6" s="5"/>
      <c r="CA6" s="5"/>
      <c r="CB6" s="5"/>
      <c r="CC6" s="5"/>
      <c r="CD6" s="14"/>
      <c r="CE6" s="246" t="s">
        <v>196</v>
      </c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11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124" t="s">
        <v>197</v>
      </c>
      <c r="DC6" s="125"/>
      <c r="DD6" s="125"/>
      <c r="DE6" s="125"/>
      <c r="DF6" s="125"/>
      <c r="DG6" s="212"/>
      <c r="DH6" s="212"/>
      <c r="DI6" s="2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245" t="s">
        <v>25</v>
      </c>
      <c r="DU6" s="166"/>
      <c r="DV6" s="166"/>
      <c r="DW6" s="166"/>
      <c r="DX6" s="166"/>
      <c r="DY6" s="166"/>
      <c r="DZ6" s="166"/>
      <c r="EA6" s="166"/>
      <c r="EB6" s="166"/>
      <c r="EC6" s="166"/>
      <c r="ED6" s="166"/>
      <c r="EE6" s="166"/>
      <c r="EF6" s="261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277" t="s">
        <v>198</v>
      </c>
      <c r="EW6" s="278"/>
      <c r="EX6" s="278"/>
      <c r="EY6" s="278"/>
      <c r="EZ6" s="278"/>
      <c r="FA6" s="278"/>
      <c r="FB6" s="278"/>
      <c r="FC6" s="278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124" t="s">
        <v>199</v>
      </c>
      <c r="FR6" s="125"/>
      <c r="FS6" s="125"/>
      <c r="FT6" s="125"/>
      <c r="FU6" s="125"/>
      <c r="FV6" s="125"/>
      <c r="FW6" s="125"/>
      <c r="FX6" s="279"/>
      <c r="FY6" s="12"/>
      <c r="FZ6" s="12"/>
      <c r="GA6" s="12"/>
      <c r="GB6" s="12"/>
      <c r="GC6" s="12"/>
      <c r="GD6" s="12"/>
      <c r="GE6" s="245" t="s">
        <v>200</v>
      </c>
      <c r="GF6" s="166"/>
      <c r="GG6" s="166"/>
      <c r="GH6" s="166"/>
      <c r="GI6" s="166"/>
      <c r="GJ6" s="166"/>
      <c r="GK6" s="166"/>
      <c r="GL6" s="166"/>
      <c r="GM6" s="123"/>
      <c r="GN6" s="123"/>
      <c r="GO6" s="123"/>
      <c r="GP6" s="123"/>
      <c r="GQ6" s="123"/>
      <c r="GR6" s="165"/>
      <c r="GS6" s="13"/>
      <c r="GT6" s="13"/>
      <c r="GU6" s="65"/>
      <c r="GV6" s="65"/>
      <c r="GW6" s="65"/>
      <c r="GX6" s="65"/>
      <c r="GY6" s="65"/>
      <c r="HA6" s="177" t="s">
        <v>201</v>
      </c>
      <c r="HB6" s="177"/>
      <c r="HC6" s="177"/>
      <c r="HD6" s="177"/>
      <c r="HE6" s="177"/>
      <c r="HF6" s="177"/>
      <c r="HG6" s="177"/>
      <c r="HH6" s="230"/>
      <c r="HI6" s="230"/>
      <c r="HJ6" s="230"/>
      <c r="HK6" s="233"/>
      <c r="HL6" s="64"/>
      <c r="HM6" s="65"/>
      <c r="HO6" s="124" t="s">
        <v>202</v>
      </c>
      <c r="HP6" s="125"/>
      <c r="HQ6" s="125"/>
      <c r="HR6" s="125"/>
      <c r="HS6" s="125"/>
      <c r="HT6" s="125"/>
      <c r="HU6" s="125"/>
      <c r="HV6" s="125"/>
      <c r="HW6" s="125"/>
      <c r="HX6" s="125"/>
      <c r="HY6" s="126"/>
      <c r="HZ6" s="5"/>
      <c r="IA6" s="5"/>
      <c r="IB6" s="5"/>
      <c r="IC6" s="5"/>
      <c r="ID6" s="246" t="s">
        <v>203</v>
      </c>
      <c r="IE6" s="246"/>
      <c r="IF6" s="246"/>
      <c r="IG6" s="246"/>
      <c r="IH6" s="246"/>
      <c r="II6" s="246"/>
      <c r="IJ6" s="246"/>
      <c r="IK6" s="246"/>
      <c r="IL6" s="246"/>
      <c r="IM6" s="246"/>
      <c r="IN6" s="246"/>
      <c r="IO6" s="5"/>
      <c r="IP6" s="5"/>
      <c r="IQ6" s="5"/>
      <c r="IR6" s="177" t="s">
        <v>204</v>
      </c>
      <c r="IS6" s="177"/>
      <c r="IT6" s="177"/>
      <c r="IV6" s="5"/>
      <c r="IW6" s="5"/>
      <c r="IX6" s="5"/>
      <c r="IY6" s="5"/>
      <c r="IZ6" s="5"/>
      <c r="JA6" s="14"/>
      <c r="JB6" s="5"/>
      <c r="JC6" s="5"/>
      <c r="JD6" s="5"/>
      <c r="JE6" s="5"/>
      <c r="JF6" s="5"/>
      <c r="JG6" s="5"/>
      <c r="JH6" s="5"/>
      <c r="JI6" s="5"/>
      <c r="JJ6" s="5"/>
      <c r="JK6" s="5"/>
      <c r="JL6" s="177" t="s">
        <v>205</v>
      </c>
      <c r="JM6" s="177"/>
      <c r="JN6" s="177"/>
      <c r="JO6" s="177"/>
      <c r="JP6" s="177"/>
      <c r="JQ6" s="177"/>
      <c r="JR6" s="177"/>
      <c r="JS6" s="177"/>
      <c r="JT6" s="177"/>
      <c r="JU6" s="177"/>
      <c r="JV6" s="177"/>
      <c r="JW6" s="177"/>
      <c r="JX6" s="177"/>
      <c r="JY6" s="11"/>
      <c r="JZ6" s="14"/>
      <c r="KA6" s="5"/>
      <c r="KB6" s="5"/>
      <c r="KC6" s="5"/>
      <c r="KD6" s="5"/>
      <c r="KE6" s="14"/>
      <c r="KF6" s="242" t="s">
        <v>206</v>
      </c>
      <c r="KG6" s="242"/>
      <c r="KH6" s="242"/>
      <c r="KI6" s="242"/>
      <c r="KJ6" s="242"/>
      <c r="KK6" s="242"/>
      <c r="KL6" s="242"/>
      <c r="KM6" s="242"/>
      <c r="KN6" s="242"/>
      <c r="KO6" s="242"/>
      <c r="KP6" s="242"/>
      <c r="KQ6" s="242"/>
      <c r="KR6" s="242"/>
      <c r="KS6" s="242"/>
      <c r="KT6" s="242"/>
      <c r="KU6" s="11"/>
      <c r="KV6" s="239" t="s">
        <v>25</v>
      </c>
      <c r="KW6" s="240"/>
      <c r="KX6" s="240"/>
      <c r="KY6" s="240"/>
      <c r="KZ6" s="240"/>
      <c r="LA6" s="240"/>
      <c r="LB6" s="240"/>
      <c r="LC6" s="240"/>
      <c r="LD6" s="254"/>
      <c r="LE6" s="254"/>
      <c r="LF6" s="254"/>
      <c r="LG6" s="254"/>
      <c r="LH6" s="254"/>
      <c r="LI6" s="12"/>
      <c r="LJ6" s="12"/>
      <c r="LK6" s="12"/>
      <c r="LL6" s="12"/>
      <c r="LM6" s="14"/>
      <c r="LN6" s="13"/>
      <c r="LO6" s="13"/>
      <c r="LP6" s="13"/>
      <c r="LQ6" s="13"/>
      <c r="LR6" s="13"/>
      <c r="LS6" s="62"/>
      <c r="LT6" s="177" t="s">
        <v>207</v>
      </c>
      <c r="LU6" s="177"/>
      <c r="LV6" s="177"/>
      <c r="LW6" s="177"/>
      <c r="LX6" s="177"/>
      <c r="LY6" s="177"/>
      <c r="LZ6" s="177"/>
      <c r="MA6" s="177"/>
      <c r="MB6" s="177"/>
      <c r="MC6" s="177"/>
      <c r="MD6" s="177"/>
      <c r="ME6" s="177"/>
      <c r="MF6" s="177"/>
      <c r="MG6" s="5"/>
      <c r="MH6" s="5"/>
      <c r="MI6" s="5"/>
      <c r="MJ6" s="5"/>
      <c r="MK6" s="177" t="s">
        <v>208</v>
      </c>
      <c r="ML6" s="177"/>
      <c r="MM6" s="177"/>
      <c r="MN6" s="177"/>
      <c r="MO6" s="177"/>
      <c r="MP6" s="177"/>
      <c r="MQ6" s="55"/>
      <c r="MR6" s="79"/>
      <c r="MS6" s="5"/>
      <c r="MT6" s="5"/>
      <c r="MU6" s="6" t="s">
        <v>209</v>
      </c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239" t="s">
        <v>25</v>
      </c>
      <c r="NH6" s="240"/>
      <c r="NI6" s="240"/>
      <c r="NJ6" s="240"/>
      <c r="NK6" s="240"/>
      <c r="NL6" s="240"/>
      <c r="NM6" s="240"/>
      <c r="NN6" s="240"/>
      <c r="NO6" s="240"/>
      <c r="NP6" s="240"/>
      <c r="NQ6" s="240"/>
      <c r="NR6" s="240"/>
      <c r="NS6" s="240"/>
      <c r="NT6" s="14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</row>
    <row r="7" spans="1:409">
      <c r="A7" s="226"/>
      <c r="B7" s="2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24" t="s">
        <v>48</v>
      </c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6"/>
      <c r="AG7" s="5"/>
      <c r="AH7" s="5"/>
      <c r="AI7" s="5"/>
      <c r="AJ7" s="5"/>
      <c r="AK7" s="122" t="s">
        <v>210</v>
      </c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5"/>
      <c r="BD7" s="122" t="s">
        <v>211</v>
      </c>
      <c r="BE7" s="123"/>
      <c r="BF7" s="123"/>
      <c r="BG7" s="123"/>
      <c r="BH7" s="5"/>
      <c r="BI7" s="122" t="s">
        <v>212</v>
      </c>
      <c r="BJ7" s="123"/>
      <c r="BK7" s="123"/>
      <c r="BL7" s="16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13"/>
      <c r="CF7" s="13"/>
      <c r="CG7" s="13"/>
      <c r="CH7" s="13"/>
      <c r="CI7" s="13"/>
      <c r="CJ7" s="13"/>
      <c r="CK7" s="190" t="s">
        <v>213</v>
      </c>
      <c r="CL7" s="191"/>
      <c r="CM7" s="191"/>
      <c r="CN7" s="191"/>
      <c r="CO7" s="191"/>
      <c r="CP7" s="123"/>
      <c r="CQ7" s="123"/>
      <c r="CR7" s="123"/>
      <c r="CS7" s="123"/>
      <c r="CT7" s="123"/>
      <c r="CU7" s="123"/>
      <c r="CV7" s="123"/>
      <c r="CW7" s="123"/>
      <c r="CX7" s="123"/>
      <c r="CY7" s="165"/>
      <c r="CZ7" s="5"/>
      <c r="DA7" s="5"/>
      <c r="DB7" s="5"/>
      <c r="DC7" s="5"/>
      <c r="DD7" s="5"/>
      <c r="DE7" s="5"/>
      <c r="DF7" s="14"/>
      <c r="DG7" s="124" t="s">
        <v>13</v>
      </c>
      <c r="DH7" s="125"/>
      <c r="DI7" s="125"/>
      <c r="DJ7" s="125"/>
      <c r="DK7" s="125"/>
      <c r="DL7" s="125"/>
      <c r="DM7" s="125"/>
      <c r="DN7" s="125"/>
      <c r="DO7" s="125"/>
      <c r="DP7" s="125"/>
      <c r="DQ7" s="126"/>
      <c r="DR7" s="12"/>
      <c r="DS7" s="12"/>
      <c r="DT7" s="12"/>
      <c r="DU7" s="55"/>
      <c r="DV7" s="12"/>
      <c r="DW7" s="124" t="s">
        <v>214</v>
      </c>
      <c r="DX7" s="125"/>
      <c r="DY7" s="125"/>
      <c r="DZ7" s="125"/>
      <c r="EA7" s="125"/>
      <c r="EB7" s="125"/>
      <c r="EC7" s="125"/>
      <c r="ED7" s="125"/>
      <c r="EE7" s="125"/>
      <c r="EF7" s="125"/>
      <c r="EG7" s="126"/>
      <c r="EH7" s="5"/>
      <c r="EI7" s="5"/>
      <c r="EJ7" s="124" t="s">
        <v>215</v>
      </c>
      <c r="EK7" s="125"/>
      <c r="EL7" s="125"/>
      <c r="EM7" s="125"/>
      <c r="EN7" s="125"/>
      <c r="EO7" s="125"/>
      <c r="EP7" s="125"/>
      <c r="EQ7" s="125"/>
      <c r="ER7" s="125"/>
      <c r="ES7" s="125"/>
      <c r="ET7" s="126"/>
      <c r="EU7" s="5"/>
      <c r="EV7" s="124" t="s">
        <v>216</v>
      </c>
      <c r="EW7" s="125"/>
      <c r="EX7" s="125"/>
      <c r="EY7" s="125"/>
      <c r="EZ7" s="125"/>
      <c r="FA7" s="125"/>
      <c r="FB7" s="125"/>
      <c r="FC7" s="12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14"/>
      <c r="FX7" s="246" t="s">
        <v>217</v>
      </c>
      <c r="FY7" s="246"/>
      <c r="FZ7" s="246"/>
      <c r="GA7" s="246"/>
      <c r="GB7" s="246"/>
      <c r="GC7" s="246"/>
      <c r="GD7" s="246"/>
      <c r="GE7" s="246"/>
      <c r="GF7" s="246"/>
      <c r="GG7" s="246"/>
      <c r="GH7" s="246"/>
      <c r="GI7" s="246"/>
      <c r="GJ7" s="246"/>
      <c r="GK7" s="246"/>
      <c r="GL7" s="246"/>
      <c r="GM7" s="11"/>
      <c r="GN7" s="5"/>
      <c r="GO7" s="5"/>
      <c r="GP7" s="5"/>
      <c r="GQ7" s="5"/>
      <c r="GR7" s="5"/>
      <c r="GS7" s="5"/>
      <c r="GT7" s="14"/>
      <c r="GU7" s="177" t="s">
        <v>218</v>
      </c>
      <c r="GV7" s="177"/>
      <c r="GW7" s="177"/>
      <c r="GX7" s="177"/>
      <c r="GY7" s="177"/>
      <c r="GZ7" s="177"/>
      <c r="HA7" s="232"/>
      <c r="HB7" s="232"/>
      <c r="HC7" s="232"/>
      <c r="HD7" s="232"/>
      <c r="HE7" s="232"/>
      <c r="HF7" s="64"/>
      <c r="HG7" s="69"/>
      <c r="HH7" s="246" t="s">
        <v>25</v>
      </c>
      <c r="HI7" s="246"/>
      <c r="HJ7" s="246"/>
      <c r="HK7" s="246"/>
      <c r="HL7" s="246"/>
      <c r="HM7" s="246"/>
      <c r="HN7" s="246"/>
      <c r="HO7" s="246"/>
      <c r="HP7" s="246"/>
      <c r="HQ7" s="246"/>
      <c r="HR7" s="246"/>
      <c r="HS7" s="246"/>
      <c r="HT7" s="122"/>
      <c r="HU7" s="5"/>
      <c r="HV7" s="5"/>
      <c r="HW7" s="5"/>
      <c r="HX7" s="14"/>
      <c r="HY7" s="177" t="s">
        <v>219</v>
      </c>
      <c r="HZ7" s="177"/>
      <c r="IA7" s="177"/>
      <c r="IB7" s="177"/>
      <c r="IC7" s="177"/>
      <c r="ID7" s="177"/>
      <c r="IE7" s="177"/>
      <c r="IF7" s="177"/>
      <c r="IG7" s="177"/>
      <c r="IH7" s="177"/>
      <c r="II7" s="177"/>
      <c r="IJ7" s="177"/>
      <c r="IK7" s="177"/>
      <c r="IL7" s="5"/>
      <c r="IM7" s="5"/>
      <c r="IN7" s="5"/>
      <c r="IO7" s="5"/>
      <c r="IP7" s="5"/>
      <c r="IQ7" s="5"/>
      <c r="IR7" s="122" t="s">
        <v>220</v>
      </c>
      <c r="IS7" s="123"/>
      <c r="IT7" s="123"/>
      <c r="IU7" s="123"/>
      <c r="IV7" s="123"/>
      <c r="IW7" s="191"/>
      <c r="IX7" s="191"/>
      <c r="IY7" s="191"/>
      <c r="IZ7" s="191"/>
      <c r="JA7" s="191"/>
      <c r="JB7" s="177" t="s">
        <v>221</v>
      </c>
      <c r="JC7" s="177"/>
      <c r="JD7" s="177"/>
      <c r="JE7" s="177"/>
      <c r="JF7" s="177"/>
      <c r="JG7" s="177"/>
      <c r="JH7" s="177"/>
      <c r="JI7" s="177"/>
      <c r="JJ7" s="177"/>
      <c r="JK7" s="177"/>
      <c r="JL7" s="177"/>
      <c r="JM7" s="5"/>
      <c r="JN7" s="5"/>
      <c r="JO7" s="5"/>
      <c r="JP7" s="5"/>
      <c r="JQ7" s="5"/>
      <c r="JR7" s="5"/>
      <c r="JS7" s="5"/>
      <c r="JT7" s="5"/>
      <c r="JU7" s="5"/>
      <c r="JV7" s="177" t="s">
        <v>222</v>
      </c>
      <c r="JW7" s="177"/>
      <c r="JX7" s="177"/>
      <c r="JY7" s="11"/>
      <c r="JZ7" s="5"/>
      <c r="KA7" s="13"/>
      <c r="KB7" s="13"/>
      <c r="KC7" s="13"/>
      <c r="KD7" s="13"/>
      <c r="KE7" s="62"/>
      <c r="KF7" s="242" t="s">
        <v>223</v>
      </c>
      <c r="KG7" s="242"/>
      <c r="KH7" s="242"/>
      <c r="KI7" s="242"/>
      <c r="KJ7" s="242"/>
      <c r="KK7" s="242"/>
      <c r="KL7" s="242"/>
      <c r="KM7" s="242"/>
      <c r="KN7" s="242"/>
      <c r="KO7" s="242"/>
      <c r="KP7" s="242"/>
      <c r="KQ7" s="242"/>
      <c r="KR7" s="242"/>
      <c r="KS7" s="242"/>
      <c r="KT7" s="242"/>
      <c r="KU7" s="11"/>
      <c r="KV7" s="5"/>
      <c r="KW7" s="5"/>
      <c r="KX7" s="5"/>
      <c r="KY7" s="5"/>
      <c r="KZ7" s="5"/>
      <c r="LA7" s="5"/>
      <c r="LC7" s="177" t="s">
        <v>224</v>
      </c>
      <c r="LD7" s="177"/>
      <c r="LE7" s="177"/>
      <c r="LF7" s="177"/>
      <c r="LG7" s="177"/>
      <c r="LH7" s="177"/>
      <c r="LI7" s="230"/>
      <c r="LJ7" s="230"/>
      <c r="LK7" s="230"/>
      <c r="LL7" s="230"/>
      <c r="LM7" s="230"/>
      <c r="LN7" s="13"/>
      <c r="LO7" s="13"/>
      <c r="LP7" s="13"/>
      <c r="LQ7" s="13"/>
      <c r="LR7" s="13"/>
      <c r="LS7" s="62"/>
      <c r="LT7" s="5"/>
      <c r="LU7" s="5"/>
      <c r="LV7" s="5"/>
      <c r="LW7" s="5"/>
      <c r="LX7" s="5"/>
      <c r="LY7" s="5"/>
      <c r="LZ7" s="5"/>
      <c r="MA7" s="239" t="s">
        <v>25</v>
      </c>
      <c r="MB7" s="240"/>
      <c r="MC7" s="240"/>
      <c r="MD7" s="240"/>
      <c r="ME7" s="240"/>
      <c r="MF7" s="240"/>
      <c r="MG7" s="240"/>
      <c r="MH7" s="240"/>
      <c r="MI7" s="240"/>
      <c r="MJ7" s="240"/>
      <c r="MK7" s="240"/>
      <c r="ML7" s="240"/>
      <c r="MM7" s="240"/>
      <c r="MN7" s="5"/>
      <c r="MO7" s="5"/>
      <c r="MP7" s="5"/>
      <c r="MQ7" s="11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24" t="s">
        <v>225</v>
      </c>
      <c r="NF7" s="125"/>
      <c r="NG7" s="125"/>
      <c r="NH7" s="125"/>
      <c r="NI7" s="125"/>
      <c r="NJ7" s="125"/>
      <c r="NK7" s="125"/>
      <c r="NL7" s="126"/>
      <c r="NM7" s="14"/>
      <c r="NN7" s="177" t="s">
        <v>226</v>
      </c>
      <c r="NO7" s="177"/>
      <c r="NP7" s="177"/>
      <c r="NQ7" s="177"/>
      <c r="NR7" s="177"/>
      <c r="NS7" s="177"/>
      <c r="NT7" s="230"/>
      <c r="NU7" s="230"/>
      <c r="NV7" s="230"/>
      <c r="NW7" s="230"/>
      <c r="NX7" s="230"/>
      <c r="NY7" s="230"/>
      <c r="NZ7" s="230"/>
      <c r="OA7" s="12"/>
      <c r="OB7" s="12"/>
      <c r="OC7" s="12"/>
      <c r="OD7" s="12"/>
      <c r="OE7" s="12"/>
      <c r="OF7" s="12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</row>
    <row r="8" spans="1:409" ht="15" customHeight="1">
      <c r="A8" s="226"/>
      <c r="B8" s="9">
        <v>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77" t="s">
        <v>56</v>
      </c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5"/>
      <c r="AN8" s="5"/>
      <c r="AO8" s="5"/>
      <c r="AP8" s="122" t="s">
        <v>227</v>
      </c>
      <c r="AQ8" s="123"/>
      <c r="AR8" s="123"/>
      <c r="AS8" s="123"/>
      <c r="AT8" s="123"/>
      <c r="AU8" s="123"/>
      <c r="AV8" s="123"/>
      <c r="AW8" s="123"/>
      <c r="AX8" s="5"/>
      <c r="AY8" s="5"/>
      <c r="AZ8" s="5"/>
      <c r="BA8" s="5"/>
      <c r="BB8" s="5"/>
      <c r="BC8" s="5"/>
      <c r="BD8" s="122" t="s">
        <v>228</v>
      </c>
      <c r="BE8" s="123"/>
      <c r="BF8" s="123"/>
      <c r="BG8" s="123"/>
      <c r="BH8" s="5"/>
      <c r="BI8" s="122" t="s">
        <v>58</v>
      </c>
      <c r="BJ8" s="123"/>
      <c r="BK8" s="123"/>
      <c r="BL8" s="123"/>
      <c r="BM8" s="123"/>
      <c r="BN8" s="123"/>
      <c r="BO8" s="123"/>
      <c r="BP8" s="165"/>
      <c r="BQ8" s="5"/>
      <c r="BR8" s="5"/>
      <c r="BS8" s="5"/>
      <c r="BT8" s="5"/>
      <c r="BU8" s="5"/>
      <c r="BV8" s="5"/>
      <c r="BW8" s="124" t="s">
        <v>229</v>
      </c>
      <c r="BX8" s="125"/>
      <c r="BY8" s="125"/>
      <c r="BZ8" s="125"/>
      <c r="CA8" s="125"/>
      <c r="CB8" s="125"/>
      <c r="CC8" s="125"/>
      <c r="CD8" s="12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13"/>
      <c r="DH8" s="13"/>
      <c r="DI8" s="13"/>
      <c r="DJ8" s="13"/>
      <c r="DK8" s="13"/>
      <c r="DL8" s="13"/>
      <c r="DM8" s="13"/>
      <c r="DN8" s="62"/>
      <c r="DO8" s="259" t="s">
        <v>230</v>
      </c>
      <c r="DP8" s="260"/>
      <c r="DQ8" s="260"/>
      <c r="DR8" s="260"/>
      <c r="DS8" s="260"/>
      <c r="DT8" s="260"/>
      <c r="DU8" s="260"/>
      <c r="DV8" s="260"/>
      <c r="DW8" s="260"/>
      <c r="DX8" s="260"/>
      <c r="DY8" s="55"/>
      <c r="DZ8" s="55"/>
      <c r="EA8" s="55"/>
      <c r="EB8" s="55"/>
      <c r="EC8" s="12"/>
      <c r="ED8" s="5"/>
      <c r="EE8" s="5"/>
      <c r="EF8" s="5"/>
      <c r="EG8" s="5"/>
      <c r="EH8" s="5"/>
      <c r="EI8" s="5"/>
      <c r="EJ8" s="5"/>
      <c r="EK8" s="5"/>
      <c r="EL8" s="5"/>
      <c r="EM8" s="124" t="s">
        <v>231</v>
      </c>
      <c r="EN8" s="125"/>
      <c r="EO8" s="125"/>
      <c r="EP8" s="125"/>
      <c r="EQ8" s="125"/>
      <c r="ER8" s="125"/>
      <c r="ES8" s="125"/>
      <c r="ET8" s="125"/>
      <c r="EU8" s="125"/>
      <c r="EV8" s="126"/>
      <c r="EW8" s="5"/>
      <c r="EX8" s="5"/>
      <c r="EY8" s="5"/>
      <c r="EZ8" s="5"/>
      <c r="FA8" s="5"/>
      <c r="FB8" s="5"/>
      <c r="FC8" s="251" t="s">
        <v>31</v>
      </c>
      <c r="FD8" s="252"/>
      <c r="FE8" s="252"/>
      <c r="FF8" s="252"/>
      <c r="FG8" s="252"/>
      <c r="FH8" s="252"/>
      <c r="FI8" s="252"/>
      <c r="FJ8" s="252"/>
      <c r="FK8" s="252"/>
      <c r="FL8" s="252"/>
      <c r="FM8" s="252"/>
      <c r="FN8" s="252"/>
      <c r="FO8" s="252"/>
      <c r="FP8" s="252"/>
      <c r="FQ8" s="253"/>
      <c r="FR8" s="5"/>
      <c r="FS8" s="5"/>
      <c r="FT8" s="5"/>
      <c r="FU8" s="5"/>
      <c r="FV8" s="5"/>
      <c r="FW8" s="14"/>
      <c r="FX8" s="246" t="s">
        <v>232</v>
      </c>
      <c r="FY8" s="246"/>
      <c r="FZ8" s="246"/>
      <c r="GA8" s="246"/>
      <c r="GB8" s="246"/>
      <c r="GC8" s="246"/>
      <c r="GD8" s="246"/>
      <c r="GE8" s="246"/>
      <c r="GF8" s="246"/>
      <c r="GG8" s="246"/>
      <c r="GH8" s="246"/>
      <c r="GI8" s="246"/>
      <c r="GJ8" s="246"/>
      <c r="GK8" s="246"/>
      <c r="GL8" s="246"/>
      <c r="GM8" s="11"/>
      <c r="GN8" s="5"/>
      <c r="GO8" s="5"/>
      <c r="GP8" s="5"/>
      <c r="GQ8" s="5"/>
      <c r="GR8" s="5"/>
      <c r="GS8" s="5"/>
      <c r="GT8" s="5"/>
      <c r="GU8" s="13"/>
      <c r="GV8" s="13"/>
      <c r="GW8" s="13"/>
      <c r="GX8" s="13"/>
      <c r="GY8" s="13"/>
      <c r="GZ8" s="13"/>
      <c r="HA8" s="13"/>
      <c r="HB8" s="13"/>
      <c r="HC8" s="13"/>
      <c r="HD8" s="62"/>
      <c r="HE8" s="232" t="s">
        <v>233</v>
      </c>
      <c r="HF8" s="177"/>
      <c r="HG8" s="177"/>
      <c r="HH8" s="232"/>
      <c r="HI8" s="232"/>
      <c r="HJ8" s="232"/>
      <c r="HK8" s="232"/>
      <c r="HL8" s="232"/>
      <c r="HM8" s="70"/>
      <c r="HN8" s="13"/>
      <c r="HO8" s="13"/>
      <c r="HP8" s="13"/>
      <c r="HQ8" s="13"/>
      <c r="HR8" s="13"/>
      <c r="HS8" s="13"/>
      <c r="HT8" s="62"/>
      <c r="HU8" s="246" t="s">
        <v>234</v>
      </c>
      <c r="HV8" s="246"/>
      <c r="HW8" s="246"/>
      <c r="HX8" s="246"/>
      <c r="HY8" s="250"/>
      <c r="HZ8" s="250"/>
      <c r="IA8" s="250"/>
      <c r="IB8" s="250"/>
      <c r="IC8" s="13"/>
      <c r="ID8" s="13"/>
      <c r="IE8" s="13"/>
      <c r="IF8" s="13"/>
      <c r="IG8" s="13"/>
      <c r="IH8" s="250" t="s">
        <v>235</v>
      </c>
      <c r="II8" s="250"/>
      <c r="IJ8" s="250"/>
      <c r="IK8" s="250"/>
      <c r="IL8" s="250"/>
      <c r="IM8" s="250"/>
      <c r="IN8" s="250"/>
      <c r="IO8" s="70"/>
      <c r="IP8" s="13"/>
      <c r="IQ8" s="13"/>
      <c r="IR8" s="122" t="s">
        <v>236</v>
      </c>
      <c r="IS8" s="123"/>
      <c r="IT8" s="123"/>
      <c r="IU8" s="123"/>
      <c r="IV8" s="123"/>
      <c r="IW8" s="123"/>
      <c r="IX8" s="123"/>
      <c r="IY8" s="165"/>
      <c r="IZ8" s="5"/>
      <c r="JA8" s="14"/>
      <c r="JB8" s="13"/>
      <c r="JC8" s="250" t="s">
        <v>237</v>
      </c>
      <c r="JD8" s="250"/>
      <c r="JE8" s="250"/>
      <c r="JF8" s="250"/>
      <c r="JG8" s="250"/>
      <c r="JH8" s="250"/>
      <c r="JI8" s="250" t="s">
        <v>238</v>
      </c>
      <c r="JJ8" s="250"/>
      <c r="JK8" s="250"/>
      <c r="JL8" s="250"/>
      <c r="JM8" s="250"/>
      <c r="JN8" s="250"/>
      <c r="JO8" s="250"/>
      <c r="JP8" s="70"/>
      <c r="JQ8" s="13"/>
      <c r="JR8" s="13"/>
      <c r="JS8" s="13"/>
      <c r="JT8" s="13"/>
      <c r="JU8" s="13"/>
      <c r="JV8" s="13"/>
      <c r="JW8" s="13"/>
      <c r="JX8" s="13"/>
      <c r="JY8" s="5"/>
      <c r="JZ8" s="5"/>
      <c r="KA8" s="5"/>
      <c r="KB8" s="5"/>
      <c r="KC8" s="5"/>
      <c r="KD8" s="5"/>
      <c r="KE8" s="62"/>
      <c r="KF8" s="242" t="s">
        <v>239</v>
      </c>
      <c r="KG8" s="242"/>
      <c r="KH8" s="242"/>
      <c r="KI8" s="242"/>
      <c r="KJ8" s="242"/>
      <c r="KK8" s="242"/>
      <c r="KL8" s="242"/>
      <c r="KM8" s="242"/>
      <c r="KN8" s="242"/>
      <c r="KO8" s="242"/>
      <c r="KP8" s="242"/>
      <c r="KQ8" s="242"/>
      <c r="KR8" s="242"/>
      <c r="KS8" s="242"/>
      <c r="KT8" s="242"/>
      <c r="KU8" s="11"/>
      <c r="KV8" s="5"/>
      <c r="KW8" s="5"/>
      <c r="KX8" s="11"/>
      <c r="KY8" s="5"/>
      <c r="KZ8" s="5"/>
      <c r="LA8" s="5"/>
      <c r="LB8" s="5"/>
      <c r="LC8" s="5"/>
      <c r="LD8" s="5"/>
      <c r="LE8" s="5"/>
      <c r="LF8" s="5"/>
      <c r="LG8" s="5"/>
      <c r="LH8" s="124" t="s">
        <v>240</v>
      </c>
      <c r="LI8" s="125"/>
      <c r="LJ8" s="125"/>
      <c r="LK8" s="125"/>
      <c r="LL8" s="125"/>
      <c r="LM8" s="125"/>
      <c r="LN8" s="125"/>
      <c r="LO8" s="125"/>
      <c r="LP8" s="125"/>
      <c r="LQ8" s="125"/>
      <c r="LR8" s="125"/>
      <c r="LS8" s="125"/>
      <c r="LT8" s="244"/>
      <c r="LU8" s="13"/>
      <c r="LV8" s="13"/>
      <c r="LW8" s="62"/>
      <c r="LX8" s="232" t="s">
        <v>241</v>
      </c>
      <c r="LY8" s="232"/>
      <c r="LZ8" s="232"/>
      <c r="MA8" s="232"/>
      <c r="MB8" s="232"/>
      <c r="MC8" s="232"/>
      <c r="MD8" s="232"/>
      <c r="ME8" s="232"/>
      <c r="MF8" s="13"/>
      <c r="MG8" s="13"/>
      <c r="MH8" s="232" t="s">
        <v>242</v>
      </c>
      <c r="MI8" s="232"/>
      <c r="MJ8" s="232"/>
      <c r="MK8" s="232"/>
      <c r="ML8" s="232"/>
      <c r="MM8" s="232"/>
      <c r="MN8" s="232"/>
      <c r="MO8" s="233"/>
      <c r="MP8" s="233"/>
      <c r="MQ8" s="230"/>
      <c r="MR8" s="230"/>
      <c r="MS8" s="65"/>
      <c r="MT8" s="65"/>
      <c r="MU8" s="65"/>
      <c r="MV8" s="65"/>
      <c r="MW8" s="65"/>
      <c r="MX8" s="65"/>
      <c r="MY8" s="65"/>
      <c r="MZ8" s="177" t="s">
        <v>243</v>
      </c>
      <c r="NA8" s="177"/>
      <c r="NB8" s="177"/>
      <c r="NC8" s="177"/>
      <c r="ND8" s="177"/>
      <c r="NE8" s="177"/>
      <c r="NF8" s="230"/>
      <c r="NG8" s="230"/>
      <c r="NH8" s="230"/>
      <c r="NI8" s="230"/>
      <c r="NJ8" s="230"/>
      <c r="NK8" s="5"/>
      <c r="NL8" s="5"/>
      <c r="NM8" s="5"/>
      <c r="NN8" s="5"/>
      <c r="NO8" s="5"/>
      <c r="NP8" s="5"/>
      <c r="NQ8" s="5"/>
      <c r="NR8" s="5"/>
      <c r="NS8" s="14"/>
      <c r="NT8" s="177" t="s">
        <v>244</v>
      </c>
      <c r="NU8" s="177"/>
      <c r="NV8" s="177"/>
      <c r="NW8" s="177"/>
      <c r="NX8" s="177"/>
      <c r="NY8" s="177"/>
      <c r="NZ8" s="177"/>
      <c r="OA8" s="177"/>
      <c r="OB8" s="177"/>
      <c r="OC8" s="177"/>
      <c r="OD8" s="177"/>
      <c r="OE8" s="177"/>
      <c r="OF8" s="177"/>
      <c r="OG8" s="11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</row>
    <row r="9" spans="1:409" ht="15.75">
      <c r="A9" s="226"/>
      <c r="B9" s="2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122" t="s">
        <v>245</v>
      </c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65"/>
      <c r="BE9" s="5"/>
      <c r="BF9" s="5"/>
      <c r="BG9" s="5"/>
      <c r="BH9" s="5"/>
      <c r="BI9" s="122" t="s">
        <v>73</v>
      </c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6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245" t="s">
        <v>25</v>
      </c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261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14"/>
      <c r="DO9" s="262" t="s">
        <v>246</v>
      </c>
      <c r="DP9" s="262"/>
      <c r="DQ9" s="262"/>
      <c r="DR9" s="262"/>
      <c r="DS9" s="262"/>
      <c r="DT9" s="262"/>
      <c r="DU9" s="262"/>
      <c r="DV9" s="262"/>
      <c r="DW9" s="262"/>
      <c r="DX9" s="262"/>
      <c r="DY9" s="262"/>
      <c r="DZ9" s="262"/>
      <c r="EA9" s="262"/>
      <c r="EB9" s="263"/>
      <c r="EC9" s="263"/>
      <c r="ED9" s="11"/>
      <c r="EE9" s="5"/>
      <c r="EF9" s="122" t="s">
        <v>247</v>
      </c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65"/>
      <c r="EZ9" s="5"/>
      <c r="FA9" s="5"/>
      <c r="FB9" s="5"/>
      <c r="FC9" s="251" t="s">
        <v>248</v>
      </c>
      <c r="FD9" s="252"/>
      <c r="FE9" s="252"/>
      <c r="FF9" s="252"/>
      <c r="FG9" s="252"/>
      <c r="FH9" s="252"/>
      <c r="FI9" s="252"/>
      <c r="FJ9" s="252"/>
      <c r="FK9" s="252"/>
      <c r="FL9" s="252"/>
      <c r="FM9" s="252"/>
      <c r="FN9" s="252"/>
      <c r="FO9" s="252"/>
      <c r="FP9" s="252"/>
      <c r="FQ9" s="253"/>
      <c r="FR9" s="5"/>
      <c r="FS9" s="5"/>
      <c r="FT9" s="5"/>
      <c r="FU9" s="5"/>
      <c r="FV9" s="5"/>
      <c r="FW9" s="14"/>
      <c r="FX9" s="246" t="s">
        <v>249</v>
      </c>
      <c r="FY9" s="246"/>
      <c r="FZ9" s="246"/>
      <c r="GA9" s="246"/>
      <c r="GB9" s="246"/>
      <c r="GC9" s="246"/>
      <c r="GD9" s="246"/>
      <c r="GE9" s="246"/>
      <c r="GF9" s="246"/>
      <c r="GG9" s="246"/>
      <c r="GH9" s="246"/>
      <c r="GI9" s="246"/>
      <c r="GJ9" s="246"/>
      <c r="GK9" s="246"/>
      <c r="GL9" s="246"/>
      <c r="GM9" s="11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13"/>
      <c r="HF9" s="13"/>
      <c r="HG9" s="13"/>
      <c r="HH9" s="5"/>
      <c r="HI9" s="5"/>
      <c r="HJ9" s="5"/>
      <c r="HK9" s="5"/>
      <c r="HL9" s="5"/>
      <c r="HM9" s="5"/>
      <c r="HN9" s="5"/>
      <c r="HO9" s="124" t="s">
        <v>250</v>
      </c>
      <c r="HP9" s="125"/>
      <c r="HQ9" s="125"/>
      <c r="HR9" s="125"/>
      <c r="HS9" s="125"/>
      <c r="HT9" s="125"/>
      <c r="HU9" s="125"/>
      <c r="HV9" s="125"/>
      <c r="HW9" s="125"/>
      <c r="HX9" s="125"/>
      <c r="HY9" s="126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5"/>
      <c r="IP9" s="5"/>
      <c r="IQ9" s="5"/>
      <c r="IR9" s="5"/>
      <c r="IS9" s="5"/>
      <c r="IT9" s="5"/>
      <c r="IU9" s="5"/>
      <c r="IV9" s="122" t="s">
        <v>61</v>
      </c>
      <c r="IW9" s="123"/>
      <c r="IX9" s="123"/>
      <c r="IY9" s="123"/>
      <c r="IZ9" s="123"/>
      <c r="JA9" s="123"/>
      <c r="JB9" s="5"/>
      <c r="JC9" s="5"/>
      <c r="JD9" s="5"/>
      <c r="JE9" s="5"/>
      <c r="JF9" s="5"/>
      <c r="JG9" s="5"/>
      <c r="JH9" s="5"/>
      <c r="JI9" s="5"/>
      <c r="JJ9" s="7" t="s">
        <v>251</v>
      </c>
      <c r="JK9" s="7" t="s">
        <v>252</v>
      </c>
      <c r="JL9" s="7" t="s">
        <v>188</v>
      </c>
      <c r="JM9" s="5"/>
      <c r="JN9" s="5"/>
      <c r="JO9" s="7" t="s">
        <v>189</v>
      </c>
      <c r="JP9" s="11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14"/>
      <c r="KF9" s="242" t="s">
        <v>253</v>
      </c>
      <c r="KG9" s="242"/>
      <c r="KH9" s="242"/>
      <c r="KI9" s="242"/>
      <c r="KJ9" s="242"/>
      <c r="KK9" s="242"/>
      <c r="KL9" s="242"/>
      <c r="KM9" s="242"/>
      <c r="KN9" s="242"/>
      <c r="KO9" s="242"/>
      <c r="KP9" s="242"/>
      <c r="KQ9" s="242"/>
      <c r="KR9" s="242"/>
      <c r="KS9" s="242"/>
      <c r="KT9" s="242"/>
      <c r="KU9" s="11"/>
      <c r="KV9" s="5"/>
      <c r="KW9" s="5"/>
      <c r="KX9" s="11"/>
      <c r="KY9" s="5"/>
      <c r="KZ9" s="5"/>
      <c r="LA9" s="5"/>
      <c r="LB9" s="5"/>
      <c r="LC9" s="5"/>
      <c r="LD9" s="5"/>
      <c r="LE9" s="5"/>
      <c r="LF9" s="5"/>
      <c r="LG9" s="5"/>
      <c r="LH9" s="124" t="s">
        <v>254</v>
      </c>
      <c r="LI9" s="125"/>
      <c r="LJ9" s="125"/>
      <c r="LK9" s="125"/>
      <c r="LL9" s="125"/>
      <c r="LM9" s="125"/>
      <c r="LN9" s="125"/>
      <c r="LO9" s="125"/>
      <c r="LP9" s="125"/>
      <c r="LQ9" s="125"/>
      <c r="LR9" s="125"/>
      <c r="LS9" s="125"/>
      <c r="LT9" s="126"/>
      <c r="LU9" s="5"/>
      <c r="LV9" s="5"/>
      <c r="LW9" s="14"/>
      <c r="LX9" s="5"/>
      <c r="LY9" s="5"/>
      <c r="LZ9" s="5"/>
      <c r="MA9" s="5"/>
      <c r="MB9" s="5"/>
      <c r="MC9" s="5"/>
      <c r="MD9" s="177" t="s">
        <v>255</v>
      </c>
      <c r="ME9" s="177"/>
      <c r="MF9" s="177"/>
      <c r="MG9" s="5"/>
      <c r="MH9" s="5"/>
      <c r="MI9" s="5"/>
      <c r="MJ9" s="5"/>
      <c r="MK9" s="5"/>
      <c r="ML9" s="5"/>
      <c r="MM9" s="5"/>
      <c r="MN9" s="5"/>
      <c r="MO9" s="14"/>
      <c r="MP9" s="14"/>
      <c r="MQ9" s="124" t="s">
        <v>256</v>
      </c>
      <c r="MR9" s="125"/>
      <c r="MS9" s="125"/>
      <c r="MT9" s="125"/>
      <c r="MU9" s="125"/>
      <c r="MV9" s="125"/>
      <c r="MW9" s="125"/>
      <c r="MX9" s="125"/>
      <c r="MY9" s="125"/>
      <c r="MZ9" s="125"/>
      <c r="NA9" s="125"/>
      <c r="NB9" s="125"/>
      <c r="NC9" s="125"/>
      <c r="ND9" s="125"/>
      <c r="NE9" s="126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62"/>
      <c r="NU9" s="62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</row>
    <row r="10" spans="1:409" ht="15.75">
      <c r="A10" s="226"/>
      <c r="B10" s="9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122" t="s">
        <v>257</v>
      </c>
      <c r="AQ10" s="123"/>
      <c r="AR10" s="123"/>
      <c r="AS10" s="123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122" t="s">
        <v>258</v>
      </c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6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181" t="s">
        <v>22</v>
      </c>
      <c r="CT10" s="182"/>
      <c r="CU10" s="182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5"/>
      <c r="EE10" s="5"/>
      <c r="EF10" s="122" t="s">
        <v>60</v>
      </c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6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251" t="s">
        <v>259</v>
      </c>
      <c r="FD10" s="252"/>
      <c r="FE10" s="252"/>
      <c r="FF10" s="252"/>
      <c r="FG10" s="252"/>
      <c r="FH10" s="252"/>
      <c r="FI10" s="252"/>
      <c r="FJ10" s="252"/>
      <c r="FK10" s="252"/>
      <c r="FL10" s="252"/>
      <c r="FM10" s="252"/>
      <c r="FN10" s="252"/>
      <c r="FO10" s="252"/>
      <c r="FP10" s="252"/>
      <c r="FQ10" s="253"/>
      <c r="FR10" s="5"/>
      <c r="FS10" s="5"/>
      <c r="FT10" s="5"/>
      <c r="FU10" s="5"/>
      <c r="FV10" s="5"/>
      <c r="FW10" s="14"/>
      <c r="FX10" s="246" t="s">
        <v>260</v>
      </c>
      <c r="FY10" s="246"/>
      <c r="FZ10" s="246"/>
      <c r="GA10" s="246"/>
      <c r="GB10" s="246"/>
      <c r="GC10" s="246"/>
      <c r="GD10" s="246"/>
      <c r="GE10" s="246"/>
      <c r="GF10" s="246"/>
      <c r="GG10" s="246"/>
      <c r="GH10" s="246"/>
      <c r="GI10" s="246"/>
      <c r="GJ10" s="246"/>
      <c r="GK10" s="246"/>
      <c r="GL10" s="246"/>
      <c r="GM10" s="11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124" t="s">
        <v>261</v>
      </c>
      <c r="HP10" s="125"/>
      <c r="HQ10" s="125"/>
      <c r="HR10" s="125"/>
      <c r="HS10" s="125"/>
      <c r="HT10" s="125"/>
      <c r="HU10" s="125"/>
      <c r="HV10" s="125"/>
      <c r="HW10" s="125"/>
      <c r="HX10" s="125"/>
      <c r="HY10" s="126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14"/>
      <c r="JB10" s="5"/>
      <c r="JC10" s="5"/>
      <c r="JD10" s="5"/>
      <c r="JE10" s="5"/>
      <c r="JF10" s="5"/>
      <c r="JG10" s="5"/>
      <c r="JH10" s="5"/>
      <c r="JI10" s="5"/>
      <c r="JJ10" s="7" t="s">
        <v>262</v>
      </c>
      <c r="JK10" s="5"/>
      <c r="JL10" s="5"/>
      <c r="JM10" s="5"/>
      <c r="JN10" s="5"/>
      <c r="JO10" s="7" t="s">
        <v>209</v>
      </c>
      <c r="JP10" s="11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14"/>
      <c r="KF10" s="242" t="s">
        <v>263</v>
      </c>
      <c r="KG10" s="242"/>
      <c r="KH10" s="242"/>
      <c r="KI10" s="242"/>
      <c r="KJ10" s="242"/>
      <c r="KK10" s="242"/>
      <c r="KL10" s="242"/>
      <c r="KM10" s="242"/>
      <c r="KN10" s="242"/>
      <c r="KO10" s="242"/>
      <c r="KP10" s="242"/>
      <c r="KQ10" s="242"/>
      <c r="KR10" s="242"/>
      <c r="KS10" s="242"/>
      <c r="KT10" s="242"/>
      <c r="KV10" s="12"/>
      <c r="KW10" s="12"/>
      <c r="KX10" s="55"/>
      <c r="KY10" s="12"/>
      <c r="KZ10" s="5"/>
      <c r="LA10" s="5"/>
      <c r="LB10" s="5"/>
      <c r="LC10" s="5"/>
      <c r="LD10" s="5"/>
      <c r="LE10" s="5"/>
      <c r="LF10" s="5"/>
      <c r="LG10" s="5"/>
      <c r="LH10" s="124" t="s">
        <v>264</v>
      </c>
      <c r="LI10" s="125"/>
      <c r="LJ10" s="125"/>
      <c r="LK10" s="125"/>
      <c r="LL10" s="125"/>
      <c r="LM10" s="125"/>
      <c r="LN10" s="125"/>
      <c r="LO10" s="125"/>
      <c r="LP10" s="125"/>
      <c r="LQ10" s="125"/>
      <c r="LR10" s="125"/>
      <c r="LS10" s="125"/>
      <c r="LT10" s="126"/>
      <c r="LU10" s="5"/>
      <c r="LV10" s="5"/>
      <c r="LW10" s="5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5"/>
      <c r="MN10" s="5"/>
      <c r="MO10" s="14"/>
      <c r="MP10" s="14"/>
      <c r="MQ10" s="124" t="s">
        <v>265</v>
      </c>
      <c r="MR10" s="125"/>
      <c r="MS10" s="125"/>
      <c r="MT10" s="125"/>
      <c r="MU10" s="125"/>
      <c r="MV10" s="125"/>
      <c r="MW10" s="125"/>
      <c r="MX10" s="125"/>
      <c r="MY10" s="125"/>
      <c r="MZ10" s="125"/>
      <c r="NA10" s="125"/>
      <c r="NB10" s="125"/>
      <c r="NC10" s="125"/>
      <c r="ND10" s="125"/>
      <c r="NE10" s="126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</row>
    <row r="11" spans="1:409" ht="15.75">
      <c r="A11" s="226"/>
      <c r="B11" s="2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81" t="s">
        <v>22</v>
      </c>
      <c r="AK11" s="182"/>
      <c r="AL11" s="182"/>
      <c r="AM11" s="5"/>
      <c r="AN11" s="5"/>
      <c r="AO11" s="5"/>
      <c r="AP11" s="122" t="s">
        <v>266</v>
      </c>
      <c r="AQ11" s="123"/>
      <c r="AR11" s="123"/>
      <c r="AS11" s="123"/>
      <c r="AT11" s="5"/>
      <c r="AU11" s="60" t="s">
        <v>267</v>
      </c>
      <c r="AV11" s="5"/>
      <c r="AW11" s="5"/>
      <c r="AX11" s="5"/>
      <c r="AY11" s="5"/>
      <c r="AZ11" s="5"/>
      <c r="BA11" s="124" t="s">
        <v>268</v>
      </c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6"/>
      <c r="BO11" s="5"/>
      <c r="BP11" s="5"/>
      <c r="BQ11" s="5"/>
      <c r="BR11" s="181" t="s">
        <v>22</v>
      </c>
      <c r="BS11" s="182"/>
      <c r="BT11" s="182"/>
      <c r="BU11" s="5"/>
      <c r="BV11" s="5"/>
      <c r="BW11" s="5"/>
      <c r="BX11" s="5"/>
      <c r="BY11" s="5"/>
      <c r="BZ11" s="5"/>
      <c r="CA11" s="5"/>
      <c r="CB11" s="124" t="s">
        <v>269</v>
      </c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6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122" t="s">
        <v>270</v>
      </c>
      <c r="EJ11" s="123"/>
      <c r="EK11" s="123"/>
      <c r="EL11" s="123"/>
      <c r="EM11" s="123"/>
      <c r="EN11" s="123"/>
      <c r="EO11" s="123"/>
      <c r="EP11" s="123"/>
      <c r="EQ11" s="123"/>
      <c r="ER11" s="16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251" t="s">
        <v>271</v>
      </c>
      <c r="FD11" s="252"/>
      <c r="FE11" s="252"/>
      <c r="FF11" s="252"/>
      <c r="FG11" s="252"/>
      <c r="FH11" s="252"/>
      <c r="FI11" s="252"/>
      <c r="FJ11" s="252"/>
      <c r="FK11" s="252"/>
      <c r="FL11" s="252"/>
      <c r="FM11" s="252"/>
      <c r="FN11" s="252"/>
      <c r="FO11" s="252"/>
      <c r="FP11" s="252"/>
      <c r="FQ11" s="253"/>
      <c r="FR11" s="5"/>
      <c r="FS11" s="5"/>
      <c r="FT11" s="5"/>
      <c r="FU11" s="5"/>
      <c r="FV11" s="5"/>
      <c r="FW11" s="14"/>
      <c r="FX11" s="249" t="s">
        <v>272</v>
      </c>
      <c r="FY11" s="249"/>
      <c r="FZ11" s="249"/>
      <c r="GA11" s="249"/>
      <c r="GB11" s="249"/>
      <c r="GC11" s="249"/>
      <c r="GD11" s="249"/>
      <c r="GE11" s="249"/>
      <c r="GF11" s="246"/>
      <c r="GG11" s="246"/>
      <c r="GH11" s="246"/>
      <c r="GI11" s="246"/>
      <c r="GJ11" s="246"/>
      <c r="GK11" s="246"/>
      <c r="GL11" s="246"/>
      <c r="GM11" s="11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124" t="s">
        <v>273</v>
      </c>
      <c r="IK11" s="125"/>
      <c r="IL11" s="125"/>
      <c r="IM11" s="125"/>
      <c r="IN11" s="125"/>
      <c r="IO11" s="125"/>
      <c r="IP11" s="125"/>
      <c r="IQ11" s="125"/>
      <c r="IR11" s="125"/>
      <c r="IS11" s="125"/>
      <c r="IT11" s="125"/>
      <c r="IU11" s="125"/>
      <c r="IV11" s="126"/>
      <c r="IW11" s="124" t="s">
        <v>274</v>
      </c>
      <c r="IX11" s="125"/>
      <c r="IY11" s="125"/>
      <c r="IZ11" s="125"/>
      <c r="JA11" s="125"/>
      <c r="JB11" s="241"/>
      <c r="JC11" s="241"/>
      <c r="JD11" s="241"/>
      <c r="JE11" s="241"/>
      <c r="JF11" s="241"/>
      <c r="JG11" s="241"/>
      <c r="JH11" s="241"/>
      <c r="JI11" s="13"/>
      <c r="JJ11" s="13"/>
      <c r="JK11" s="13"/>
      <c r="JL11" s="13"/>
      <c r="JM11" s="13"/>
      <c r="JN11" s="13"/>
      <c r="JO11" s="13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14"/>
      <c r="KF11" s="264" t="s">
        <v>275</v>
      </c>
      <c r="KG11" s="265"/>
      <c r="KH11" s="265"/>
      <c r="KI11" s="265"/>
      <c r="KJ11" s="265"/>
      <c r="KK11" s="265"/>
      <c r="KL11" s="265"/>
      <c r="KM11" s="266"/>
      <c r="KN11" s="13"/>
      <c r="KO11" s="73"/>
      <c r="KP11" s="13"/>
      <c r="KQ11" s="13"/>
      <c r="KR11" s="13"/>
      <c r="KS11" s="13"/>
      <c r="KT11" s="13"/>
      <c r="KU11" s="5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124" t="s">
        <v>276</v>
      </c>
      <c r="LI11" s="125"/>
      <c r="LJ11" s="125"/>
      <c r="LK11" s="125"/>
      <c r="LL11" s="125"/>
      <c r="LM11" s="125"/>
      <c r="LN11" s="125"/>
      <c r="LO11" s="125"/>
      <c r="LP11" s="125"/>
      <c r="LQ11" s="125"/>
      <c r="LR11" s="125"/>
      <c r="LS11" s="125"/>
      <c r="LT11" s="126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14"/>
      <c r="MP11" s="14"/>
      <c r="MQ11" s="124" t="s">
        <v>277</v>
      </c>
      <c r="MR11" s="125"/>
      <c r="MS11" s="125"/>
      <c r="MT11" s="125"/>
      <c r="MU11" s="125"/>
      <c r="MV11" s="125"/>
      <c r="MW11" s="125"/>
      <c r="MX11" s="125"/>
      <c r="MY11" s="125"/>
      <c r="MZ11" s="125"/>
      <c r="NA11" s="125"/>
      <c r="NB11" s="125"/>
      <c r="NC11" s="125"/>
      <c r="ND11" s="125"/>
      <c r="NE11" s="126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</row>
    <row r="12" spans="1:409" ht="15.75">
      <c r="A12" s="226"/>
      <c r="B12" s="9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10" t="s">
        <v>278</v>
      </c>
      <c r="AQ12" s="5"/>
      <c r="AR12" s="5"/>
      <c r="AS12" s="5"/>
      <c r="AT12" s="5"/>
      <c r="AU12" s="243" t="s">
        <v>279</v>
      </c>
      <c r="AV12" s="241"/>
      <c r="AW12" s="241"/>
      <c r="AX12" s="241"/>
      <c r="AY12" s="241"/>
      <c r="AZ12" s="241"/>
      <c r="BA12" s="244"/>
      <c r="BB12" s="5"/>
      <c r="BC12" s="5"/>
      <c r="BD12" s="5"/>
      <c r="BE12" s="5"/>
      <c r="BF12" s="5"/>
      <c r="BG12" s="5"/>
      <c r="BH12" s="5"/>
      <c r="BI12" s="7"/>
      <c r="BJ12" s="5"/>
      <c r="BK12" s="5"/>
      <c r="BL12" s="5"/>
      <c r="BM12" s="5"/>
      <c r="BN12" s="122" t="s">
        <v>25</v>
      </c>
      <c r="BO12" s="123"/>
      <c r="BP12" s="123"/>
      <c r="BQ12" s="123"/>
      <c r="BR12" s="123"/>
      <c r="BS12" s="123"/>
      <c r="BT12" s="123"/>
      <c r="BU12" s="123"/>
      <c r="BV12" s="123"/>
      <c r="BW12" s="123"/>
      <c r="BX12" s="16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10" t="s">
        <v>280</v>
      </c>
      <c r="ET12" s="5"/>
      <c r="EU12" s="5"/>
      <c r="EV12" s="122" t="s">
        <v>238</v>
      </c>
      <c r="EW12" s="123"/>
      <c r="EX12" s="123"/>
      <c r="EY12" s="165"/>
      <c r="EZ12" s="5"/>
      <c r="FA12" s="12"/>
      <c r="FB12" s="12"/>
      <c r="FC12" s="251" t="s">
        <v>281</v>
      </c>
      <c r="FD12" s="252"/>
      <c r="FE12" s="252"/>
      <c r="FF12" s="252"/>
      <c r="FG12" s="252"/>
      <c r="FH12" s="252"/>
      <c r="FI12" s="252"/>
      <c r="FJ12" s="252"/>
      <c r="FK12" s="252"/>
      <c r="FL12" s="252"/>
      <c r="FM12" s="252"/>
      <c r="FN12" s="252"/>
      <c r="FO12" s="252"/>
      <c r="FP12" s="252"/>
      <c r="FQ12" s="253"/>
      <c r="FR12" s="5"/>
      <c r="FS12" s="5"/>
      <c r="FT12" s="5"/>
      <c r="FU12" s="5"/>
      <c r="FV12" s="5"/>
      <c r="FW12" s="14"/>
      <c r="FX12" s="246" t="s">
        <v>282</v>
      </c>
      <c r="FY12" s="246"/>
      <c r="FZ12" s="246"/>
      <c r="GA12" s="246"/>
      <c r="GB12" s="246"/>
      <c r="GC12" s="246"/>
      <c r="GD12" s="246"/>
      <c r="GE12" s="246"/>
      <c r="GF12" s="64"/>
      <c r="GG12" s="65"/>
      <c r="GH12" s="65"/>
      <c r="GI12" s="65"/>
      <c r="GJ12" s="65"/>
      <c r="GK12" s="65"/>
      <c r="GL12" s="65"/>
      <c r="GM12" s="12"/>
      <c r="GN12" s="12"/>
      <c r="GO12" s="12"/>
      <c r="GP12" s="12"/>
      <c r="GQ12" s="12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124" t="s">
        <v>283</v>
      </c>
      <c r="IK12" s="125"/>
      <c r="IL12" s="125"/>
      <c r="IM12" s="125"/>
      <c r="IN12" s="125"/>
      <c r="IO12" s="125"/>
      <c r="IP12" s="125"/>
      <c r="IQ12" s="125"/>
      <c r="IR12" s="125"/>
      <c r="IS12" s="125"/>
      <c r="IT12" s="125"/>
      <c r="IU12" s="125"/>
      <c r="IV12" s="126"/>
      <c r="IW12" s="124" t="s">
        <v>284</v>
      </c>
      <c r="IX12" s="125"/>
      <c r="IY12" s="125"/>
      <c r="IZ12" s="125"/>
      <c r="JA12" s="125"/>
      <c r="JB12" s="125"/>
      <c r="JC12" s="125"/>
      <c r="JD12" s="125"/>
      <c r="JE12" s="125"/>
      <c r="JF12" s="125"/>
      <c r="JG12" s="125"/>
      <c r="JH12" s="125"/>
      <c r="JI12" s="5"/>
      <c r="JJ12" s="5"/>
      <c r="JK12" s="5"/>
      <c r="JL12" s="5"/>
      <c r="JM12" s="5"/>
      <c r="JN12" s="5"/>
      <c r="JO12" s="5"/>
      <c r="JP12" s="5"/>
      <c r="JQ12" s="5"/>
      <c r="JR12" s="267" t="s">
        <v>25</v>
      </c>
      <c r="JS12" s="268"/>
      <c r="JT12" s="268"/>
      <c r="JU12" s="268"/>
      <c r="JV12" s="268"/>
      <c r="JW12" s="268"/>
      <c r="JX12" s="268"/>
      <c r="JY12" s="268"/>
      <c r="JZ12" s="268"/>
      <c r="KA12" s="268"/>
      <c r="KB12" s="268"/>
      <c r="KC12" s="268"/>
      <c r="KD12" s="268"/>
      <c r="KE12" s="268"/>
      <c r="KF12" s="269"/>
      <c r="KG12" s="5"/>
      <c r="KH12" s="5"/>
      <c r="KI12" s="5"/>
      <c r="KJ12" s="5"/>
      <c r="KK12" s="5"/>
      <c r="KL12" s="5"/>
      <c r="KM12" s="5"/>
      <c r="KN12" s="5"/>
      <c r="KO12" s="177" t="s">
        <v>285</v>
      </c>
      <c r="KP12" s="177"/>
      <c r="KQ12" s="177"/>
      <c r="KR12" s="177"/>
      <c r="KS12" s="177"/>
      <c r="KT12" s="177"/>
      <c r="KU12" s="230"/>
      <c r="KV12" s="230"/>
      <c r="KW12" s="230"/>
      <c r="KX12" s="230"/>
      <c r="KY12" s="230"/>
      <c r="KZ12" s="230"/>
      <c r="LA12" s="230"/>
      <c r="LB12" s="12"/>
      <c r="LC12" s="5"/>
      <c r="LD12" s="5"/>
      <c r="LE12" s="5"/>
      <c r="LF12" s="5"/>
      <c r="LG12" s="5"/>
      <c r="LH12" s="5"/>
      <c r="LI12" s="13"/>
      <c r="LJ12" s="13"/>
      <c r="LK12" s="13"/>
      <c r="LL12" s="13"/>
      <c r="LM12" s="13"/>
      <c r="LN12" s="13"/>
      <c r="LO12" s="13"/>
      <c r="LP12" s="227" t="s">
        <v>286</v>
      </c>
      <c r="LQ12" s="228"/>
      <c r="LR12" s="228"/>
      <c r="LS12" s="228"/>
      <c r="LT12" s="228"/>
      <c r="LU12" s="228"/>
      <c r="LV12" s="228"/>
      <c r="LW12" s="228"/>
      <c r="LX12" s="228"/>
      <c r="LY12" s="228"/>
      <c r="LZ12" s="229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14"/>
      <c r="MP12" s="14"/>
      <c r="MQ12" s="124" t="s">
        <v>287</v>
      </c>
      <c r="MR12" s="125"/>
      <c r="MS12" s="125"/>
      <c r="MT12" s="125"/>
      <c r="MU12" s="125"/>
      <c r="MV12" s="125"/>
      <c r="MW12" s="125"/>
      <c r="MX12" s="125"/>
      <c r="MY12" s="125"/>
      <c r="MZ12" s="125"/>
      <c r="NA12" s="125"/>
      <c r="NB12" s="125"/>
      <c r="NC12" s="125"/>
      <c r="ND12" s="125"/>
      <c r="NE12" s="126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</row>
    <row r="13" spans="1:409">
      <c r="A13" s="226"/>
      <c r="B13" s="2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22" t="s">
        <v>288</v>
      </c>
      <c r="AQ13" s="123"/>
      <c r="AR13" s="123"/>
      <c r="AS13" s="123"/>
      <c r="AT13" s="123"/>
      <c r="AU13" s="123"/>
      <c r="AV13" s="123"/>
      <c r="AW13" s="16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7" t="s">
        <v>289</v>
      </c>
      <c r="BJ13" s="5"/>
      <c r="BK13" s="5"/>
      <c r="BL13" s="5"/>
      <c r="BM13" s="5"/>
      <c r="BN13" s="5"/>
      <c r="BO13" s="5"/>
      <c r="BP13" s="5"/>
      <c r="BQ13" s="124" t="s">
        <v>290</v>
      </c>
      <c r="BR13" s="125"/>
      <c r="BS13" s="125"/>
      <c r="BT13" s="125"/>
      <c r="BU13" s="125"/>
      <c r="BV13" s="12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10" t="s">
        <v>252</v>
      </c>
      <c r="EW13" s="5"/>
      <c r="EX13" s="5"/>
      <c r="EY13" s="14"/>
      <c r="EZ13" s="5"/>
      <c r="FA13" s="246" t="s">
        <v>25</v>
      </c>
      <c r="FB13" s="246"/>
      <c r="FC13" s="246"/>
      <c r="FD13" s="246"/>
      <c r="FE13" s="246"/>
      <c r="FF13" s="246"/>
      <c r="FG13" s="246"/>
      <c r="FH13" s="246"/>
      <c r="FI13" s="246"/>
      <c r="FJ13" s="246"/>
      <c r="FK13" s="246"/>
      <c r="FL13" s="246"/>
      <c r="FM13" s="246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13"/>
      <c r="FY13" s="13"/>
      <c r="FZ13" s="13"/>
      <c r="GA13" s="13"/>
      <c r="GB13" s="13"/>
      <c r="GC13" s="13"/>
      <c r="GD13" s="62"/>
      <c r="GE13" s="250" t="s">
        <v>25</v>
      </c>
      <c r="GF13" s="246"/>
      <c r="GG13" s="246"/>
      <c r="GH13" s="246"/>
      <c r="GI13" s="246"/>
      <c r="GJ13" s="246"/>
      <c r="GK13" s="246"/>
      <c r="GL13" s="246"/>
      <c r="GM13" s="246"/>
      <c r="GN13" s="246"/>
      <c r="GO13" s="246"/>
      <c r="GP13" s="246"/>
      <c r="GQ13" s="246"/>
      <c r="GR13" s="11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124" t="s">
        <v>291</v>
      </c>
      <c r="IK13" s="125"/>
      <c r="IL13" s="125"/>
      <c r="IM13" s="125"/>
      <c r="IN13" s="125"/>
      <c r="IO13" s="125"/>
      <c r="IP13" s="125"/>
      <c r="IQ13" s="125"/>
      <c r="IR13" s="125"/>
      <c r="IS13" s="125"/>
      <c r="IT13" s="125"/>
      <c r="IU13" s="125"/>
      <c r="IV13" s="126"/>
      <c r="IW13" s="124" t="s">
        <v>292</v>
      </c>
      <c r="IX13" s="125"/>
      <c r="IY13" s="125"/>
      <c r="IZ13" s="125"/>
      <c r="JA13" s="125"/>
      <c r="JB13" s="125"/>
      <c r="JC13" s="125"/>
      <c r="JD13" s="125"/>
      <c r="JE13" s="125"/>
      <c r="JF13" s="125"/>
      <c r="JG13" s="125"/>
      <c r="JH13" s="125"/>
      <c r="JI13" s="5"/>
      <c r="JJ13" s="5"/>
      <c r="JK13" s="5"/>
      <c r="JL13" s="5"/>
      <c r="JM13" s="5"/>
      <c r="JN13" s="5"/>
      <c r="JO13" s="5"/>
      <c r="JP13" s="5"/>
      <c r="JQ13" s="5"/>
      <c r="JS13" s="122" t="s">
        <v>293</v>
      </c>
      <c r="JT13" s="123"/>
      <c r="JU13" s="123"/>
      <c r="JV13" s="123"/>
      <c r="JW13" s="123"/>
      <c r="JX13" s="123"/>
      <c r="JY13" s="123"/>
      <c r="JZ13" s="123"/>
      <c r="KA13" s="123"/>
      <c r="KB13" s="123"/>
      <c r="KC13" s="123"/>
      <c r="KD13" s="123"/>
      <c r="KE13" s="123"/>
      <c r="KF13" s="123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T13" s="246" t="s">
        <v>294</v>
      </c>
      <c r="KU13" s="246"/>
      <c r="KV13" s="246"/>
      <c r="KW13" s="246"/>
      <c r="KX13" s="246"/>
      <c r="KY13" s="246"/>
      <c r="KZ13" s="246"/>
      <c r="LA13" s="246"/>
      <c r="LB13" s="246"/>
      <c r="LC13" s="246"/>
      <c r="LD13" s="246"/>
      <c r="LE13" s="5"/>
      <c r="LF13" s="5"/>
      <c r="LG13" s="5"/>
      <c r="LH13" s="5" t="s">
        <v>295</v>
      </c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14"/>
      <c r="MP13" s="14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</row>
    <row r="14" spans="1:409">
      <c r="A14" s="226"/>
      <c r="B14" s="9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122" t="s">
        <v>25</v>
      </c>
      <c r="AP14" s="123"/>
      <c r="AQ14" s="123"/>
      <c r="AR14" s="123"/>
      <c r="AS14" s="123"/>
      <c r="AT14" s="123"/>
      <c r="AU14" s="123"/>
      <c r="AV14" s="123"/>
      <c r="AW14" s="123"/>
      <c r="AX14" s="123"/>
      <c r="AY14" s="165"/>
      <c r="AZ14" s="5"/>
      <c r="BA14" s="5"/>
      <c r="BB14" s="5"/>
      <c r="BC14" s="5"/>
      <c r="BD14" s="5"/>
      <c r="BE14" s="5"/>
      <c r="BF14" s="5"/>
      <c r="BG14" s="5"/>
      <c r="BH14" s="5"/>
      <c r="BI14" s="7" t="s">
        <v>296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10" t="s">
        <v>297</v>
      </c>
      <c r="EW14" s="5"/>
      <c r="EX14" s="5"/>
      <c r="EY14" s="5"/>
      <c r="EZ14" s="5"/>
      <c r="FA14" s="13"/>
      <c r="FB14" s="13"/>
      <c r="FC14" s="13"/>
      <c r="FD14" s="13"/>
      <c r="FE14" s="13"/>
      <c r="FF14" s="13"/>
      <c r="FG14" s="13"/>
      <c r="FH14" s="243" t="s">
        <v>22</v>
      </c>
      <c r="FI14" s="241"/>
      <c r="FJ14" s="241"/>
      <c r="FK14" s="13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124" t="s">
        <v>32</v>
      </c>
      <c r="IK14" s="125"/>
      <c r="IL14" s="125"/>
      <c r="IM14" s="125"/>
      <c r="IN14" s="125"/>
      <c r="IO14" s="125"/>
      <c r="IP14" s="125"/>
      <c r="IQ14" s="125"/>
      <c r="IR14" s="125"/>
      <c r="IS14" s="125"/>
      <c r="IT14" s="125"/>
      <c r="IU14" s="125"/>
      <c r="IV14" s="126"/>
      <c r="IW14" s="124" t="s">
        <v>298</v>
      </c>
      <c r="IX14" s="125"/>
      <c r="IY14" s="125"/>
      <c r="IZ14" s="125"/>
      <c r="JA14" s="125"/>
      <c r="JB14" s="125"/>
      <c r="JC14" s="125"/>
      <c r="JD14" s="125"/>
      <c r="JE14" s="125"/>
      <c r="JF14" s="125"/>
      <c r="JG14" s="125"/>
      <c r="JH14" s="12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232" t="s">
        <v>299</v>
      </c>
      <c r="KL14" s="232"/>
      <c r="KM14" s="232"/>
      <c r="KN14" s="232"/>
      <c r="KO14" s="232"/>
      <c r="KP14" s="232"/>
      <c r="KQ14" s="232"/>
      <c r="KR14" s="232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 t="s">
        <v>300</v>
      </c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</row>
    <row r="15" spans="1:409">
      <c r="A15" s="226"/>
      <c r="B15" s="26">
        <v>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7" t="s">
        <v>301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10" t="s">
        <v>189</v>
      </c>
      <c r="EX15" s="5"/>
      <c r="EY15" s="10" t="s">
        <v>209</v>
      </c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122" t="s">
        <v>302</v>
      </c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65"/>
      <c r="FZ15" s="5"/>
      <c r="GA15" s="122" t="s">
        <v>303</v>
      </c>
      <c r="GB15" s="123"/>
      <c r="GC15" s="123"/>
      <c r="GD15" s="123"/>
      <c r="GE15" s="165"/>
      <c r="GF15" s="5"/>
      <c r="GG15" s="122" t="s">
        <v>304</v>
      </c>
      <c r="GH15" s="123"/>
      <c r="GI15" s="165"/>
      <c r="GJ15" s="5"/>
      <c r="GK15" s="5"/>
      <c r="GL15" s="122" t="s">
        <v>189</v>
      </c>
      <c r="GM15" s="165"/>
      <c r="GN15" s="5"/>
      <c r="GO15" s="5"/>
      <c r="GP15" s="5"/>
      <c r="GQ15" s="10" t="s">
        <v>209</v>
      </c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177" t="s">
        <v>305</v>
      </c>
      <c r="IK15" s="177"/>
      <c r="IL15" s="177"/>
      <c r="IM15" s="177"/>
      <c r="IN15" s="177"/>
      <c r="IO15" s="177"/>
      <c r="IP15" s="177"/>
      <c r="IQ15" s="177"/>
      <c r="IR15" s="177"/>
      <c r="IS15" s="177"/>
      <c r="IT15" s="177"/>
      <c r="IU15" s="177"/>
      <c r="IV15" s="177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 t="s">
        <v>306</v>
      </c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 t="s">
        <v>307</v>
      </c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</row>
    <row r="16" spans="1:409">
      <c r="A16" s="193" t="s">
        <v>94</v>
      </c>
      <c r="B16" s="24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7" t="s">
        <v>308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7" t="s">
        <v>309</v>
      </c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7" t="s">
        <v>310</v>
      </c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 t="s">
        <v>311</v>
      </c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</row>
    <row r="17" spans="1:409">
      <c r="A17" s="196"/>
      <c r="B17" s="2">
        <v>13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7" t="s">
        <v>312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 t="s">
        <v>313</v>
      </c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</row>
    <row r="18" spans="1:409">
      <c r="A18" s="196"/>
      <c r="B18" s="30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7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 t="s">
        <v>314</v>
      </c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</row>
    <row r="19" spans="1:409">
      <c r="A19" s="193" t="s">
        <v>99</v>
      </c>
      <c r="B19" s="18">
        <v>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2" t="s">
        <v>315</v>
      </c>
      <c r="BB19" s="5"/>
      <c r="BC19" s="5"/>
      <c r="BD19" s="5"/>
      <c r="BE19" s="5"/>
      <c r="BF19" s="5"/>
      <c r="BG19" s="5"/>
      <c r="BH19" s="5"/>
      <c r="BI19" s="7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7" t="s">
        <v>315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7" t="s">
        <v>316</v>
      </c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7" t="s">
        <v>317</v>
      </c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 t="s">
        <v>318</v>
      </c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</row>
    <row r="20" spans="1:409">
      <c r="A20" s="196"/>
      <c r="B20" s="9">
        <v>16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7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7" t="s">
        <v>319</v>
      </c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 t="s">
        <v>320</v>
      </c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</row>
    <row r="21" spans="1:409">
      <c r="A21" s="196"/>
      <c r="B21" s="30">
        <v>17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7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</row>
    <row r="22" spans="1:409">
      <c r="A22" s="196"/>
      <c r="B22" s="26">
        <v>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7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</row>
    <row r="23" spans="1:409">
      <c r="A23" s="193" t="s">
        <v>109</v>
      </c>
      <c r="B23" s="24">
        <v>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2" t="s">
        <v>321</v>
      </c>
      <c r="BB23" s="5"/>
      <c r="BC23" s="5"/>
      <c r="BD23" s="5"/>
      <c r="BE23" s="5"/>
      <c r="BF23" s="5"/>
      <c r="BG23" s="5"/>
      <c r="BH23" s="5"/>
      <c r="BI23" s="7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38" t="s">
        <v>322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7" t="s">
        <v>323</v>
      </c>
      <c r="CT23" s="5"/>
      <c r="CU23" s="5"/>
      <c r="CV23" s="5"/>
      <c r="CW23" s="5"/>
      <c r="CX23" s="5"/>
      <c r="CY23" s="5"/>
      <c r="CZ23" s="5"/>
      <c r="DA23" s="57" t="s">
        <v>324</v>
      </c>
      <c r="DB23" s="5"/>
      <c r="DC23" s="5"/>
      <c r="DD23" s="5"/>
      <c r="DE23" s="5"/>
      <c r="DF23" s="5"/>
      <c r="DG23" s="5"/>
      <c r="DH23" s="57" t="s">
        <v>325</v>
      </c>
      <c r="DI23" s="5"/>
      <c r="DJ23" s="5"/>
      <c r="DK23" s="5"/>
      <c r="DL23" s="5"/>
      <c r="DM23" s="5"/>
      <c r="DN23" s="5"/>
      <c r="DO23" s="57" t="s">
        <v>326</v>
      </c>
      <c r="DP23" s="5"/>
      <c r="DQ23" s="5"/>
      <c r="DR23" s="5"/>
      <c r="DS23" s="5"/>
      <c r="DT23" s="5"/>
      <c r="DU23" s="5"/>
      <c r="DV23" s="5"/>
      <c r="DW23" s="57" t="s">
        <v>327</v>
      </c>
      <c r="DX23" s="5"/>
      <c r="DY23" s="5"/>
      <c r="DZ23" s="5"/>
      <c r="EA23" s="5"/>
      <c r="EB23" s="5"/>
      <c r="EC23" s="38" t="s">
        <v>328</v>
      </c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7" t="s">
        <v>329</v>
      </c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38" t="s">
        <v>330</v>
      </c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</row>
    <row r="24" spans="1:409">
      <c r="A24" s="196"/>
      <c r="B24" s="2">
        <v>20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2" t="s">
        <v>331</v>
      </c>
      <c r="BB24" s="5"/>
      <c r="BC24" s="5"/>
      <c r="BD24" s="5"/>
      <c r="BE24" s="5"/>
      <c r="BF24" s="5"/>
      <c r="BG24" s="5"/>
      <c r="BH24" s="5"/>
      <c r="BI24" s="7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7" t="s">
        <v>332</v>
      </c>
      <c r="DF24" s="5"/>
      <c r="DG24" s="5"/>
      <c r="DH24" s="5"/>
      <c r="DI24" s="5"/>
      <c r="DJ24" s="5"/>
      <c r="DK24" s="5"/>
      <c r="DL24" s="5"/>
      <c r="DM24" s="5"/>
      <c r="DN24" s="5"/>
      <c r="DO24" s="57" t="s">
        <v>333</v>
      </c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7" t="s">
        <v>334</v>
      </c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</row>
    <row r="25" spans="1:409">
      <c r="A25" s="196"/>
      <c r="B25" s="2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2"/>
      <c r="BB25" s="5"/>
      <c r="BC25" s="5"/>
      <c r="BD25" s="5"/>
      <c r="BE25" s="5"/>
      <c r="BF25" s="5"/>
      <c r="BG25" s="5"/>
      <c r="BH25" s="5"/>
      <c r="BI25" s="7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7"/>
      <c r="DF25" s="5"/>
      <c r="DG25" s="5"/>
      <c r="DH25" s="5"/>
      <c r="DI25" s="5"/>
      <c r="DJ25" s="5"/>
      <c r="DK25" s="5"/>
      <c r="DL25" s="5"/>
      <c r="DM25" s="5"/>
      <c r="DN25" s="5"/>
      <c r="DO25" s="57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7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</row>
    <row r="26" spans="1:409">
      <c r="A26" s="196"/>
      <c r="B26" s="30">
        <v>21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 t="s">
        <v>335</v>
      </c>
      <c r="BC26" s="5"/>
      <c r="BD26" s="5"/>
      <c r="BE26" s="5"/>
      <c r="BF26" s="5"/>
      <c r="BG26" s="5"/>
      <c r="BH26" s="5"/>
      <c r="BI26" s="7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7" t="s">
        <v>336</v>
      </c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</row>
    <row r="27" spans="1:409">
      <c r="A27" s="193" t="s">
        <v>115</v>
      </c>
      <c r="B27" s="39">
        <v>22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2" t="s">
        <v>337</v>
      </c>
      <c r="BC27" s="5"/>
      <c r="BD27" s="5"/>
      <c r="BE27" s="5"/>
      <c r="BF27" s="5"/>
      <c r="BG27" s="5"/>
      <c r="BH27" s="5"/>
      <c r="BI27" s="7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7" t="s">
        <v>338</v>
      </c>
      <c r="BX27" s="5"/>
      <c r="BY27" s="5"/>
      <c r="BZ27" s="57" t="s">
        <v>339</v>
      </c>
      <c r="CA27" s="5"/>
      <c r="CB27" s="57" t="s">
        <v>340</v>
      </c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7" t="s">
        <v>341</v>
      </c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7" t="s">
        <v>342</v>
      </c>
      <c r="DF27" s="5"/>
      <c r="DG27" s="5"/>
      <c r="DH27" s="5"/>
      <c r="DI27" s="5"/>
      <c r="DJ27" s="5"/>
      <c r="DK27" s="5"/>
      <c r="DL27" s="5"/>
      <c r="DM27" s="5"/>
      <c r="DN27" s="57" t="s">
        <v>343</v>
      </c>
      <c r="DO27" s="5"/>
      <c r="DP27" s="5"/>
      <c r="DQ27" s="5"/>
      <c r="DR27" s="5"/>
      <c r="DS27" s="5"/>
      <c r="DT27" s="5"/>
      <c r="DU27" s="5"/>
      <c r="DV27" s="57" t="s">
        <v>344</v>
      </c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7" t="s">
        <v>345</v>
      </c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7" t="s">
        <v>346</v>
      </c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71" t="s">
        <v>347</v>
      </c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</row>
    <row r="28" spans="1:409">
      <c r="A28" s="194"/>
      <c r="B28" s="2">
        <v>23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7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7" t="s">
        <v>348</v>
      </c>
      <c r="BY28" s="5"/>
      <c r="BZ28" s="57" t="s">
        <v>349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7" t="s">
        <v>350</v>
      </c>
      <c r="CV28" s="5"/>
      <c r="CW28" s="5"/>
      <c r="CX28" s="5"/>
      <c r="CY28" s="5"/>
      <c r="CZ28" s="57" t="s">
        <v>351</v>
      </c>
      <c r="DA28" s="57" t="s">
        <v>352</v>
      </c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7" t="s">
        <v>353</v>
      </c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7" t="s">
        <v>354</v>
      </c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</row>
    <row r="29" spans="1:409">
      <c r="A29" s="194"/>
      <c r="B29" s="2">
        <v>23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7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7" t="s">
        <v>355</v>
      </c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7" t="s">
        <v>356</v>
      </c>
      <c r="CV29" s="5"/>
      <c r="CW29" s="5"/>
      <c r="CX29" s="5"/>
      <c r="CY29" s="5"/>
      <c r="CZ29" s="5"/>
      <c r="DA29" s="57" t="s">
        <v>357</v>
      </c>
      <c r="DB29" s="5"/>
      <c r="DC29" s="5"/>
      <c r="DD29" s="5"/>
      <c r="DE29" s="57" t="s">
        <v>358</v>
      </c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38" t="s">
        <v>359</v>
      </c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38" t="s">
        <v>360</v>
      </c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</row>
    <row r="30" spans="1:409">
      <c r="A30" s="194"/>
      <c r="B30" s="43">
        <v>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7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7" t="s">
        <v>361</v>
      </c>
      <c r="BX30" s="5"/>
      <c r="BY30" s="5"/>
      <c r="BZ30" s="57" t="s">
        <v>362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7" t="s">
        <v>363</v>
      </c>
      <c r="CV30" s="5"/>
      <c r="CW30" s="5"/>
      <c r="CX30" s="5"/>
      <c r="CY30" s="5"/>
      <c r="CZ30" s="5"/>
      <c r="DA30" s="57" t="s">
        <v>364</v>
      </c>
      <c r="DB30" s="5"/>
      <c r="DC30" s="5"/>
      <c r="DD30" s="57" t="s">
        <v>365</v>
      </c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7" t="s">
        <v>366</v>
      </c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</row>
    <row r="31" spans="1:409">
      <c r="A31" s="195"/>
      <c r="B31" s="43">
        <v>24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7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7" t="s">
        <v>367</v>
      </c>
      <c r="BX31" s="5"/>
      <c r="BY31" s="38" t="s">
        <v>368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63" t="s">
        <v>369</v>
      </c>
      <c r="CV31" s="5"/>
      <c r="CW31" s="5"/>
      <c r="CX31" s="5"/>
      <c r="CY31" s="5"/>
      <c r="CZ31" s="5"/>
      <c r="DA31" s="57" t="s">
        <v>370</v>
      </c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</row>
    <row r="32" spans="1:409" hidden="1">
      <c r="BI32" s="61" t="s">
        <v>371</v>
      </c>
      <c r="FX32" s="248" t="s">
        <v>372</v>
      </c>
      <c r="FY32" s="248"/>
      <c r="FZ32" s="248"/>
      <c r="GA32" s="248"/>
      <c r="GB32" s="248"/>
      <c r="GC32" s="248"/>
      <c r="GD32" s="248"/>
    </row>
    <row r="33" spans="1:186" hidden="1">
      <c r="A33" s="36" t="s">
        <v>146</v>
      </c>
      <c r="FX33" s="247" t="s">
        <v>373</v>
      </c>
      <c r="FY33" s="247"/>
      <c r="FZ33" s="247"/>
      <c r="GA33" s="247"/>
      <c r="GB33" s="247"/>
      <c r="GC33" s="247"/>
      <c r="GD33" s="247"/>
    </row>
    <row r="34" spans="1:186" hidden="1">
      <c r="A34" t="s">
        <v>147</v>
      </c>
      <c r="C34" t="s">
        <v>148</v>
      </c>
      <c r="FX34" s="247" t="s">
        <v>374</v>
      </c>
      <c r="FY34" s="247"/>
      <c r="FZ34" s="247"/>
      <c r="GA34" s="247"/>
      <c r="GB34" s="247"/>
      <c r="GC34" s="247"/>
      <c r="GD34" s="247"/>
    </row>
    <row r="35" spans="1:186" hidden="1">
      <c r="C35" s="48" t="s">
        <v>149</v>
      </c>
      <c r="FX35" s="247" t="s">
        <v>375</v>
      </c>
      <c r="FY35" s="247"/>
      <c r="FZ35" s="247"/>
      <c r="GA35" s="247"/>
      <c r="GB35" s="247"/>
      <c r="GC35" s="247"/>
      <c r="GD35" s="247"/>
    </row>
    <row r="36" spans="1:186" hidden="1">
      <c r="C36" s="48" t="s">
        <v>150</v>
      </c>
      <c r="FX36" s="247" t="s">
        <v>376</v>
      </c>
      <c r="FY36" s="247"/>
      <c r="FZ36" s="247"/>
      <c r="GA36" s="247"/>
      <c r="GB36" s="247"/>
      <c r="GC36" s="247"/>
      <c r="GD36" s="247"/>
    </row>
    <row r="37" spans="1:186" hidden="1">
      <c r="C37" t="s">
        <v>151</v>
      </c>
    </row>
    <row r="38" spans="1:186" hidden="1">
      <c r="C38" t="s">
        <v>377</v>
      </c>
    </row>
    <row r="39" spans="1:186" hidden="1">
      <c r="A39" t="s">
        <v>152</v>
      </c>
      <c r="C39" t="s">
        <v>153</v>
      </c>
    </row>
  </sheetData>
  <mergeCells count="182">
    <mergeCell ref="MQ12:NE12"/>
    <mergeCell ref="MQ9:NE9"/>
    <mergeCell ref="A27:A31"/>
    <mergeCell ref="AP11:AS11"/>
    <mergeCell ref="A19:A22"/>
    <mergeCell ref="A23:A26"/>
    <mergeCell ref="EV6:FC6"/>
    <mergeCell ref="FQ6:FX6"/>
    <mergeCell ref="BI6:BW6"/>
    <mergeCell ref="CB11:CO11"/>
    <mergeCell ref="BQ13:BV13"/>
    <mergeCell ref="BI10:BW10"/>
    <mergeCell ref="BN12:BX12"/>
    <mergeCell ref="BI8:BP8"/>
    <mergeCell ref="BI9:BW9"/>
    <mergeCell ref="DB6:DI6"/>
    <mergeCell ref="CP9:DB9"/>
    <mergeCell ref="CK7:CY7"/>
    <mergeCell ref="EV7:FC7"/>
    <mergeCell ref="FA13:FM13"/>
    <mergeCell ref="AJ11:AL11"/>
    <mergeCell ref="AP10:AS10"/>
    <mergeCell ref="AK9:BD9"/>
    <mergeCell ref="MQ10:NE10"/>
    <mergeCell ref="MQ11:NE11"/>
    <mergeCell ref="A1:B1"/>
    <mergeCell ref="F5:H5"/>
    <mergeCell ref="J5:T5"/>
    <mergeCell ref="N6:W6"/>
    <mergeCell ref="S7:AF7"/>
    <mergeCell ref="Z8:AL8"/>
    <mergeCell ref="AG5:BC5"/>
    <mergeCell ref="AH6:BB6"/>
    <mergeCell ref="C1:AG1"/>
    <mergeCell ref="AK7:BB7"/>
    <mergeCell ref="AP8:AW8"/>
    <mergeCell ref="A4:B4"/>
    <mergeCell ref="A2:B2"/>
    <mergeCell ref="A3:B3"/>
    <mergeCell ref="AH1:BJ1"/>
    <mergeCell ref="BD7:BG7"/>
    <mergeCell ref="MD9:MF9"/>
    <mergeCell ref="LC7:LM7"/>
    <mergeCell ref="LH8:LT8"/>
    <mergeCell ref="JV7:JX7"/>
    <mergeCell ref="KV1:LY1"/>
    <mergeCell ref="MA7:MM7"/>
    <mergeCell ref="MK5:ML5"/>
    <mergeCell ref="KK14:KR14"/>
    <mergeCell ref="IV9:JA9"/>
    <mergeCell ref="JC8:JH8"/>
    <mergeCell ref="JI8:JO8"/>
    <mergeCell ref="A16:A18"/>
    <mergeCell ref="IR6:IT6"/>
    <mergeCell ref="EJ7:ET7"/>
    <mergeCell ref="HU5:IB5"/>
    <mergeCell ref="FX8:GL8"/>
    <mergeCell ref="FX7:GL7"/>
    <mergeCell ref="FX10:GL10"/>
    <mergeCell ref="CS10:CU10"/>
    <mergeCell ref="IW13:JH13"/>
    <mergeCell ref="IW14:JH14"/>
    <mergeCell ref="FH14:FJ14"/>
    <mergeCell ref="EV12:EY12"/>
    <mergeCell ref="FX9:GL9"/>
    <mergeCell ref="KF11:KM11"/>
    <mergeCell ref="KF9:KT9"/>
    <mergeCell ref="KF10:KT10"/>
    <mergeCell ref="JR12:KF12"/>
    <mergeCell ref="IJ12:IV12"/>
    <mergeCell ref="EF5:EM5"/>
    <mergeCell ref="FN5:FX5"/>
    <mergeCell ref="IJ13:IV13"/>
    <mergeCell ref="IJ14:IV14"/>
    <mergeCell ref="IJ15:IV15"/>
    <mergeCell ref="IJ11:IV11"/>
    <mergeCell ref="ID6:IN6"/>
    <mergeCell ref="HO6:HY6"/>
    <mergeCell ref="FC11:FQ11"/>
    <mergeCell ref="FC12:FQ12"/>
    <mergeCell ref="DT6:EF6"/>
    <mergeCell ref="IH8:IN8"/>
    <mergeCell ref="FC8:FQ8"/>
    <mergeCell ref="IR8:IY8"/>
    <mergeCell ref="IR7:JA7"/>
    <mergeCell ref="DO9:EC9"/>
    <mergeCell ref="IW12:JH12"/>
    <mergeCell ref="JB7:JL7"/>
    <mergeCell ref="HO9:HY9"/>
    <mergeCell ref="HO10:HY10"/>
    <mergeCell ref="KT13:LD13"/>
    <mergeCell ref="KV6:LH6"/>
    <mergeCell ref="KX5:KZ5"/>
    <mergeCell ref="JS13:KF13"/>
    <mergeCell ref="A5:A15"/>
    <mergeCell ref="EY1:GB1"/>
    <mergeCell ref="IO5:JA5"/>
    <mergeCell ref="AP13:AW13"/>
    <mergeCell ref="BD6:BG6"/>
    <mergeCell ref="HH1:IL1"/>
    <mergeCell ref="BI5:BW5"/>
    <mergeCell ref="AO14:AY14"/>
    <mergeCell ref="CP1:DS1"/>
    <mergeCell ref="BK1:CO1"/>
    <mergeCell ref="EA5:EC5"/>
    <mergeCell ref="EF10:ER10"/>
    <mergeCell ref="DO8:DX8"/>
    <mergeCell ref="EM8:EV8"/>
    <mergeCell ref="HU8:IB8"/>
    <mergeCell ref="HY7:IK7"/>
    <mergeCell ref="EF9:EY9"/>
    <mergeCell ref="DG7:DQ7"/>
    <mergeCell ref="EI11:ER11"/>
    <mergeCell ref="FC9:FQ9"/>
    <mergeCell ref="BA11:BN11"/>
    <mergeCell ref="BR11:BT11"/>
    <mergeCell ref="CE6:CO6"/>
    <mergeCell ref="BI7:BL7"/>
    <mergeCell ref="FX36:GD36"/>
    <mergeCell ref="FX32:GD32"/>
    <mergeCell ref="GA15:GE15"/>
    <mergeCell ref="FX11:GL11"/>
    <mergeCell ref="FX12:GE12"/>
    <mergeCell ref="GE13:GQ13"/>
    <mergeCell ref="FC10:FQ10"/>
    <mergeCell ref="GG15:GI15"/>
    <mergeCell ref="GL15:GM15"/>
    <mergeCell ref="FX35:GD35"/>
    <mergeCell ref="FX34:GD34"/>
    <mergeCell ref="FM15:FY15"/>
    <mergeCell ref="FX33:GD33"/>
    <mergeCell ref="LF5:LK5"/>
    <mergeCell ref="MK6:MP6"/>
    <mergeCell ref="IM1:JP1"/>
    <mergeCell ref="JQ1:KU1"/>
    <mergeCell ref="LT6:MF6"/>
    <mergeCell ref="KA5:KK5"/>
    <mergeCell ref="JF5:JR5"/>
    <mergeCell ref="LN5:LZ5"/>
    <mergeCell ref="AU12:BA12"/>
    <mergeCell ref="DT1:EX1"/>
    <mergeCell ref="EV5:FC5"/>
    <mergeCell ref="BD8:BG8"/>
    <mergeCell ref="CY5:DJ5"/>
    <mergeCell ref="HK5:HM5"/>
    <mergeCell ref="GC1:HG1"/>
    <mergeCell ref="GE6:GR6"/>
    <mergeCell ref="GJ5:GL5"/>
    <mergeCell ref="DW7:EG7"/>
    <mergeCell ref="BW8:CD8"/>
    <mergeCell ref="HA6:HK6"/>
    <mergeCell ref="HE8:HL8"/>
    <mergeCell ref="HH7:HT7"/>
    <mergeCell ref="GU7:HE7"/>
    <mergeCell ref="GS5:HC5"/>
    <mergeCell ref="KO12:LA12"/>
    <mergeCell ref="IW11:JH11"/>
    <mergeCell ref="LH9:LT9"/>
    <mergeCell ref="LH10:LT10"/>
    <mergeCell ref="LH11:LT11"/>
    <mergeCell ref="LP12:LZ12"/>
    <mergeCell ref="JL6:JX6"/>
    <mergeCell ref="KF6:KT6"/>
    <mergeCell ref="KF7:KT7"/>
    <mergeCell ref="KF8:KT8"/>
    <mergeCell ref="NY5:OI5"/>
    <mergeCell ref="MV5:NH5"/>
    <mergeCell ref="MZ8:NJ8"/>
    <mergeCell ref="NJ5:NL5"/>
    <mergeCell ref="NE1:OI1"/>
    <mergeCell ref="MH8:MR8"/>
    <mergeCell ref="MQ5:MR5"/>
    <mergeCell ref="MM5:MN5"/>
    <mergeCell ref="LZ1:ND1"/>
    <mergeCell ref="MC5:MJ5"/>
    <mergeCell ref="LX8:ME8"/>
    <mergeCell ref="MS5:MT5"/>
    <mergeCell ref="NG6:NS6"/>
    <mergeCell ref="NN7:NZ7"/>
    <mergeCell ref="MO5:MP5"/>
    <mergeCell ref="NE7:NL7"/>
    <mergeCell ref="NT8:OF8"/>
  </mergeCells>
  <conditionalFormatting sqref="C4:OI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4390-0C82-4D35-B6B1-EDC57136033E}">
  <dimension ref="A1:NN31"/>
  <sheetViews>
    <sheetView workbookViewId="0">
      <pane xSplit="2" ySplit="4" topLeftCell="CS5" activePane="bottomRight" state="frozen"/>
      <selection pane="bottomRight" activeCell="CR7" sqref="CR7"/>
      <selection pane="bottomLeft"/>
      <selection pane="topRight"/>
    </sheetView>
  </sheetViews>
  <sheetFormatPr defaultRowHeight="15"/>
  <cols>
    <col min="2" max="2" width="3.28515625" bestFit="1" customWidth="1"/>
    <col min="3" max="153" width="6.140625" customWidth="1"/>
    <col min="154" max="154" width="6.28515625" customWidth="1"/>
    <col min="155" max="365" width="6.140625" customWidth="1"/>
    <col min="366" max="366" width="6.28515625" customWidth="1"/>
    <col min="367" max="367" width="6.42578125" customWidth="1"/>
    <col min="368" max="374" width="6.28515625" customWidth="1"/>
    <col min="375" max="378" width="6.42578125" customWidth="1"/>
  </cols>
  <sheetData>
    <row r="1" spans="1:378">
      <c r="A1" s="160">
        <f ca="1">TODAY()</f>
        <v>46121</v>
      </c>
      <c r="B1" s="161"/>
      <c r="C1" s="141" t="s">
        <v>378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3"/>
      <c r="AH1" s="150" t="s">
        <v>379</v>
      </c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51"/>
      <c r="BJ1" s="162" t="s">
        <v>380</v>
      </c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51"/>
      <c r="CO1" s="162" t="s">
        <v>381</v>
      </c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3"/>
      <c r="DS1" s="150" t="s">
        <v>382</v>
      </c>
      <c r="DT1" s="142"/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3"/>
      <c r="EX1" s="150" t="s">
        <v>383</v>
      </c>
      <c r="EY1" s="142"/>
      <c r="EZ1" s="142"/>
      <c r="FA1" s="142"/>
      <c r="FB1" s="142"/>
      <c r="FC1" s="142"/>
      <c r="FD1" s="142"/>
      <c r="FE1" s="142"/>
      <c r="FF1" s="142"/>
      <c r="FG1" s="142"/>
      <c r="FH1" s="142"/>
      <c r="FI1" s="142"/>
      <c r="FJ1" s="142"/>
      <c r="FK1" s="142"/>
      <c r="FL1" s="142"/>
      <c r="FM1" s="142"/>
      <c r="FN1" s="142"/>
      <c r="FO1" s="142"/>
      <c r="FP1" s="142"/>
      <c r="FQ1" s="142"/>
      <c r="FR1" s="142"/>
      <c r="FS1" s="142"/>
      <c r="FT1" s="142"/>
      <c r="FU1" s="142"/>
      <c r="FV1" s="142"/>
      <c r="FW1" s="142"/>
      <c r="FX1" s="142"/>
      <c r="FY1" s="142"/>
      <c r="FZ1" s="142"/>
      <c r="GA1" s="143"/>
      <c r="GB1" s="150" t="s">
        <v>384</v>
      </c>
      <c r="GC1" s="142"/>
      <c r="GD1" s="142"/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GR1" s="142"/>
      <c r="GS1" s="142"/>
      <c r="GT1" s="142"/>
      <c r="GU1" s="142"/>
      <c r="GV1" s="142"/>
      <c r="GW1" s="142"/>
      <c r="GX1" s="142"/>
      <c r="GY1" s="142"/>
      <c r="GZ1" s="142"/>
      <c r="HA1" s="142"/>
      <c r="HB1" s="142"/>
      <c r="HC1" s="142"/>
      <c r="HD1" s="142"/>
      <c r="HE1" s="142"/>
      <c r="HF1" s="143"/>
      <c r="HG1" s="150" t="s">
        <v>385</v>
      </c>
      <c r="HH1" s="142"/>
      <c r="HI1" s="142"/>
      <c r="HJ1" s="142"/>
      <c r="HK1" s="142"/>
      <c r="HL1" s="142"/>
      <c r="HM1" s="142"/>
      <c r="HN1" s="142"/>
      <c r="HO1" s="142"/>
      <c r="HP1" s="142"/>
      <c r="HQ1" s="142"/>
      <c r="HR1" s="142"/>
      <c r="HS1" s="142"/>
      <c r="HT1" s="142"/>
      <c r="HU1" s="142"/>
      <c r="HV1" s="142"/>
      <c r="HW1" s="142"/>
      <c r="HX1" s="142"/>
      <c r="HY1" s="142"/>
      <c r="HZ1" s="142"/>
      <c r="IA1" s="142"/>
      <c r="IB1" s="142"/>
      <c r="IC1" s="142"/>
      <c r="ID1" s="142"/>
      <c r="IE1" s="142"/>
      <c r="IF1" s="142"/>
      <c r="IG1" s="142"/>
      <c r="IH1" s="142"/>
      <c r="II1" s="142"/>
      <c r="IJ1" s="142"/>
      <c r="IK1" s="143"/>
      <c r="IL1" s="150" t="s">
        <v>386</v>
      </c>
      <c r="IM1" s="142"/>
      <c r="IN1" s="142"/>
      <c r="IO1" s="142"/>
      <c r="IP1" s="142"/>
      <c r="IQ1" s="142"/>
      <c r="IR1" s="142"/>
      <c r="IS1" s="142"/>
      <c r="IT1" s="142"/>
      <c r="IU1" s="142"/>
      <c r="IV1" s="142"/>
      <c r="IW1" s="142"/>
      <c r="IX1" s="142"/>
      <c r="IY1" s="142"/>
      <c r="IZ1" s="142"/>
      <c r="JA1" s="142"/>
      <c r="JB1" s="142"/>
      <c r="JC1" s="142"/>
      <c r="JD1" s="142"/>
      <c r="JE1" s="142"/>
      <c r="JF1" s="142"/>
      <c r="JG1" s="142"/>
      <c r="JH1" s="142"/>
      <c r="JI1" s="142"/>
      <c r="JJ1" s="142"/>
      <c r="JK1" s="142"/>
      <c r="JL1" s="142"/>
      <c r="JM1" s="142"/>
      <c r="JN1" s="142"/>
      <c r="JO1" s="143"/>
      <c r="JP1" s="150" t="s">
        <v>387</v>
      </c>
      <c r="JQ1" s="142"/>
      <c r="JR1" s="142"/>
      <c r="JS1" s="142"/>
      <c r="JT1" s="142"/>
      <c r="JU1" s="142"/>
      <c r="JV1" s="142"/>
      <c r="JW1" s="142"/>
      <c r="JX1" s="142"/>
      <c r="JY1" s="142"/>
      <c r="JZ1" s="142"/>
      <c r="KA1" s="142"/>
      <c r="KB1" s="142"/>
      <c r="KC1" s="142"/>
      <c r="KD1" s="142"/>
      <c r="KE1" s="142"/>
      <c r="KF1" s="142"/>
      <c r="KG1" s="142"/>
      <c r="KH1" s="142"/>
      <c r="KI1" s="142"/>
      <c r="KJ1" s="142"/>
      <c r="KK1" s="142"/>
      <c r="KL1" s="142"/>
      <c r="KM1" s="142"/>
      <c r="KN1" s="142"/>
      <c r="KO1" s="142"/>
      <c r="KP1" s="142"/>
      <c r="KQ1" s="142"/>
      <c r="KR1" s="142"/>
      <c r="KS1" s="142"/>
      <c r="KT1" s="143"/>
      <c r="KU1" s="150" t="s">
        <v>388</v>
      </c>
      <c r="KV1" s="142"/>
      <c r="KW1" s="142"/>
      <c r="KX1" s="142"/>
      <c r="KY1" s="142"/>
      <c r="KZ1" s="142"/>
      <c r="LA1" s="142"/>
      <c r="LB1" s="142"/>
      <c r="LC1" s="142"/>
      <c r="LD1" s="142"/>
      <c r="LE1" s="142"/>
      <c r="LF1" s="142"/>
      <c r="LG1" s="142"/>
      <c r="LH1" s="142"/>
      <c r="LI1" s="142"/>
      <c r="LJ1" s="142"/>
      <c r="LK1" s="142"/>
      <c r="LL1" s="142"/>
      <c r="LM1" s="142"/>
      <c r="LN1" s="142"/>
      <c r="LO1" s="142"/>
      <c r="LP1" s="142"/>
      <c r="LQ1" s="142"/>
      <c r="LR1" s="142"/>
      <c r="LS1" s="142"/>
      <c r="LT1" s="142"/>
      <c r="LU1" s="142"/>
      <c r="LV1" s="142"/>
      <c r="LW1" s="142"/>
      <c r="LX1" s="143"/>
      <c r="LY1" s="152" t="s">
        <v>389</v>
      </c>
      <c r="LZ1" s="153"/>
      <c r="MA1" s="153"/>
      <c r="MB1" s="153"/>
      <c r="MC1" s="153"/>
      <c r="MD1" s="153"/>
      <c r="ME1" s="153"/>
      <c r="MF1" s="153"/>
      <c r="MG1" s="153"/>
      <c r="MH1" s="153"/>
      <c r="MI1" s="153"/>
      <c r="MJ1" s="153"/>
      <c r="MK1" s="153"/>
      <c r="ML1" s="153"/>
      <c r="MM1" s="153"/>
      <c r="MN1" s="153"/>
      <c r="MO1" s="153"/>
      <c r="MP1" s="153"/>
      <c r="MQ1" s="153"/>
      <c r="MR1" s="153"/>
      <c r="MS1" s="153"/>
      <c r="MT1" s="153"/>
      <c r="MU1" s="153"/>
      <c r="MV1" s="153"/>
      <c r="MW1" s="153"/>
      <c r="MX1" s="153"/>
      <c r="MY1" s="153"/>
      <c r="MZ1" s="153"/>
      <c r="NA1" s="153"/>
      <c r="NB1" s="153"/>
      <c r="NC1" s="153"/>
    </row>
    <row r="2" spans="1:378">
      <c r="A2" s="154">
        <f>SUM(C4:NC4)</f>
        <v>316124</v>
      </c>
      <c r="B2" s="155"/>
      <c r="C2" s="96">
        <v>45658</v>
      </c>
      <c r="D2" s="96">
        <v>45659</v>
      </c>
      <c r="E2" s="96">
        <v>45660</v>
      </c>
      <c r="F2" s="96">
        <v>45661</v>
      </c>
      <c r="G2" s="96">
        <v>45662</v>
      </c>
      <c r="H2" s="96">
        <v>45663</v>
      </c>
      <c r="I2" s="96">
        <v>45664</v>
      </c>
      <c r="J2" s="97">
        <v>45665</v>
      </c>
      <c r="K2" s="96">
        <v>45666</v>
      </c>
      <c r="L2" s="96">
        <v>45667</v>
      </c>
      <c r="M2" s="96">
        <v>45668</v>
      </c>
      <c r="N2" s="96">
        <v>45669</v>
      </c>
      <c r="O2" s="96">
        <v>45670</v>
      </c>
      <c r="P2" s="96">
        <v>45671</v>
      </c>
      <c r="Q2" s="96">
        <v>45672</v>
      </c>
      <c r="R2" s="96">
        <v>45673</v>
      </c>
      <c r="S2" s="96">
        <v>45674</v>
      </c>
      <c r="T2" s="96">
        <v>45675</v>
      </c>
      <c r="U2" s="96">
        <v>45676</v>
      </c>
      <c r="V2" s="96">
        <v>45677</v>
      </c>
      <c r="W2" s="96">
        <v>45678</v>
      </c>
      <c r="X2" s="97">
        <v>45679</v>
      </c>
      <c r="Y2" s="96">
        <v>45680</v>
      </c>
      <c r="Z2" s="96">
        <v>45681</v>
      </c>
      <c r="AA2" s="96">
        <v>45682</v>
      </c>
      <c r="AB2" s="98">
        <v>45683</v>
      </c>
      <c r="AC2" s="96">
        <v>45684</v>
      </c>
      <c r="AD2" s="96">
        <v>45685</v>
      </c>
      <c r="AE2" s="97">
        <v>45686</v>
      </c>
      <c r="AF2" s="96">
        <v>45687</v>
      </c>
      <c r="AG2" s="96">
        <v>45688</v>
      </c>
      <c r="AH2" s="96">
        <v>45689</v>
      </c>
      <c r="AI2" s="96">
        <v>45690</v>
      </c>
      <c r="AJ2" s="96">
        <v>45691</v>
      </c>
      <c r="AK2" s="98">
        <v>45692</v>
      </c>
      <c r="AL2" s="96">
        <v>45693</v>
      </c>
      <c r="AM2" s="96">
        <v>45694</v>
      </c>
      <c r="AN2" s="96">
        <v>45695</v>
      </c>
      <c r="AO2" s="96">
        <v>45696</v>
      </c>
      <c r="AP2" s="96">
        <v>45697</v>
      </c>
      <c r="AQ2" s="96">
        <v>45698</v>
      </c>
      <c r="AR2" s="96">
        <v>45699</v>
      </c>
      <c r="AS2" s="97">
        <v>45700</v>
      </c>
      <c r="AT2" s="96">
        <v>45701</v>
      </c>
      <c r="AU2" s="96">
        <v>45702</v>
      </c>
      <c r="AV2" s="96">
        <v>45703</v>
      </c>
      <c r="AW2" s="96">
        <v>45704</v>
      </c>
      <c r="AX2" s="96">
        <v>45705</v>
      </c>
      <c r="AY2" s="96">
        <v>45706</v>
      </c>
      <c r="AZ2" s="97">
        <v>45707</v>
      </c>
      <c r="BA2" s="96">
        <v>45708</v>
      </c>
      <c r="BB2" s="96">
        <v>45709</v>
      </c>
      <c r="BC2" s="96">
        <v>45710</v>
      </c>
      <c r="BD2" s="96">
        <v>45711</v>
      </c>
      <c r="BE2" s="96">
        <v>45712</v>
      </c>
      <c r="BF2" s="96">
        <v>45713</v>
      </c>
      <c r="BG2" s="96">
        <v>45714</v>
      </c>
      <c r="BH2" s="96">
        <v>45715</v>
      </c>
      <c r="BI2" s="96">
        <v>45716</v>
      </c>
      <c r="BJ2" s="96">
        <v>45717</v>
      </c>
      <c r="BK2" s="96">
        <v>45718</v>
      </c>
      <c r="BL2" s="96">
        <v>45719</v>
      </c>
      <c r="BM2" s="96">
        <v>45720</v>
      </c>
      <c r="BN2" s="97">
        <v>45721</v>
      </c>
      <c r="BO2" s="96">
        <v>45722</v>
      </c>
      <c r="BP2" s="96">
        <v>45723</v>
      </c>
      <c r="BQ2" s="96">
        <v>45724</v>
      </c>
      <c r="BR2" s="96">
        <v>45725</v>
      </c>
      <c r="BS2" s="96">
        <v>45726</v>
      </c>
      <c r="BT2" s="96">
        <v>45727</v>
      </c>
      <c r="BU2" s="97">
        <v>45728</v>
      </c>
      <c r="BV2" s="96">
        <v>45729</v>
      </c>
      <c r="BW2" s="96">
        <v>45730</v>
      </c>
      <c r="BX2" s="96">
        <v>45731</v>
      </c>
      <c r="BY2" s="96">
        <v>45732</v>
      </c>
      <c r="BZ2" s="96">
        <v>45733</v>
      </c>
      <c r="CA2" s="96">
        <v>45734</v>
      </c>
      <c r="CB2" s="97">
        <v>45735</v>
      </c>
      <c r="CC2" s="96">
        <v>45736</v>
      </c>
      <c r="CD2" s="96">
        <v>45737</v>
      </c>
      <c r="CE2" s="96">
        <v>45738</v>
      </c>
      <c r="CF2" s="96">
        <v>45739</v>
      </c>
      <c r="CG2" s="96">
        <v>45740</v>
      </c>
      <c r="CH2" s="96">
        <v>45741</v>
      </c>
      <c r="CI2" s="96">
        <v>45742</v>
      </c>
      <c r="CJ2" s="98">
        <v>45743</v>
      </c>
      <c r="CK2" s="96">
        <v>45744</v>
      </c>
      <c r="CL2" s="96">
        <v>45745</v>
      </c>
      <c r="CM2" s="96">
        <v>45746</v>
      </c>
      <c r="CN2" s="96">
        <v>45747</v>
      </c>
      <c r="CO2" s="96">
        <v>45748</v>
      </c>
      <c r="CP2" s="97">
        <v>45749</v>
      </c>
      <c r="CQ2" s="96">
        <v>45750</v>
      </c>
      <c r="CR2" s="96">
        <v>45751</v>
      </c>
      <c r="CS2" s="96">
        <v>45752</v>
      </c>
      <c r="CT2" s="96">
        <v>45753</v>
      </c>
      <c r="CU2" s="98">
        <v>45754</v>
      </c>
      <c r="CV2" s="96">
        <v>45755</v>
      </c>
      <c r="CW2" s="96">
        <v>45756</v>
      </c>
      <c r="CX2" s="96">
        <v>45757</v>
      </c>
      <c r="CY2" s="96">
        <v>45758</v>
      </c>
      <c r="CZ2" s="96">
        <v>45759</v>
      </c>
      <c r="DA2" s="96">
        <v>45760</v>
      </c>
      <c r="DB2" s="96">
        <v>45761</v>
      </c>
      <c r="DC2" s="96">
        <v>45762</v>
      </c>
      <c r="DD2" s="97">
        <v>45763</v>
      </c>
      <c r="DE2" s="96">
        <v>45764</v>
      </c>
      <c r="DF2" s="96">
        <v>45765</v>
      </c>
      <c r="DG2" s="96">
        <v>45766</v>
      </c>
      <c r="DH2" s="96">
        <v>45767</v>
      </c>
      <c r="DI2" s="96">
        <v>45768</v>
      </c>
      <c r="DJ2" s="96">
        <v>45769</v>
      </c>
      <c r="DK2" s="97">
        <v>45770</v>
      </c>
      <c r="DL2" s="96">
        <v>45771</v>
      </c>
      <c r="DM2" s="96">
        <v>45772</v>
      </c>
      <c r="DN2" s="96">
        <v>45773</v>
      </c>
      <c r="DO2" s="96">
        <v>45774</v>
      </c>
      <c r="DP2" s="96">
        <v>45775</v>
      </c>
      <c r="DQ2" s="96">
        <v>45776</v>
      </c>
      <c r="DR2" s="98">
        <v>45777</v>
      </c>
      <c r="DS2" s="98">
        <v>45778</v>
      </c>
      <c r="DT2" s="96">
        <v>45779</v>
      </c>
      <c r="DU2" s="96">
        <v>45780</v>
      </c>
      <c r="DV2" s="96">
        <v>45781</v>
      </c>
      <c r="DW2" s="96">
        <v>45782</v>
      </c>
      <c r="DX2" s="96">
        <v>45783</v>
      </c>
      <c r="DY2" s="96">
        <v>45784</v>
      </c>
      <c r="DZ2" s="96">
        <v>45785</v>
      </c>
      <c r="EA2" s="96">
        <v>45786</v>
      </c>
      <c r="EB2" s="96">
        <v>45787</v>
      </c>
      <c r="EC2" s="96">
        <v>45788</v>
      </c>
      <c r="ED2" s="96">
        <v>45789</v>
      </c>
      <c r="EE2" s="97">
        <v>45790</v>
      </c>
      <c r="EF2" s="96">
        <v>45791</v>
      </c>
      <c r="EG2" s="96">
        <v>45792</v>
      </c>
      <c r="EH2" s="96">
        <v>45793</v>
      </c>
      <c r="EI2" s="96">
        <v>45794</v>
      </c>
      <c r="EJ2" s="96">
        <v>45795</v>
      </c>
      <c r="EK2" s="96">
        <v>45796</v>
      </c>
      <c r="EL2" s="96">
        <v>45797</v>
      </c>
      <c r="EM2" s="96">
        <v>45798</v>
      </c>
      <c r="EN2" s="96">
        <v>45799</v>
      </c>
      <c r="EO2" s="96">
        <v>45800</v>
      </c>
      <c r="EP2" s="96">
        <v>45801</v>
      </c>
      <c r="EQ2" s="96">
        <v>45802</v>
      </c>
      <c r="ER2" s="96">
        <v>45803</v>
      </c>
      <c r="ES2" s="96">
        <v>45804</v>
      </c>
      <c r="ET2" s="97">
        <v>45805</v>
      </c>
      <c r="EU2" s="96">
        <v>45806</v>
      </c>
      <c r="EV2" s="96">
        <v>45807</v>
      </c>
      <c r="EW2" s="96">
        <v>45808</v>
      </c>
      <c r="EX2" s="96">
        <v>45809</v>
      </c>
      <c r="EY2" s="96">
        <v>45810</v>
      </c>
      <c r="EZ2" s="96">
        <v>45811</v>
      </c>
      <c r="FA2" s="96">
        <v>45812</v>
      </c>
      <c r="FB2" s="96">
        <v>45813</v>
      </c>
      <c r="FC2" s="96">
        <v>45814</v>
      </c>
      <c r="FD2" s="96">
        <v>45815</v>
      </c>
      <c r="FE2" s="96">
        <v>45816</v>
      </c>
      <c r="FF2" s="96">
        <v>45817</v>
      </c>
      <c r="FG2" s="96">
        <v>45818</v>
      </c>
      <c r="FH2" s="97">
        <v>45819</v>
      </c>
      <c r="FI2" s="96">
        <v>45820</v>
      </c>
      <c r="FJ2" s="96">
        <v>45821</v>
      </c>
      <c r="FK2" s="96">
        <v>45822</v>
      </c>
      <c r="FL2" s="96">
        <v>45823</v>
      </c>
      <c r="FM2" s="96">
        <v>45824</v>
      </c>
      <c r="FN2" s="96">
        <v>45825</v>
      </c>
      <c r="FO2" s="96">
        <v>45826</v>
      </c>
      <c r="FP2" s="96">
        <v>45827</v>
      </c>
      <c r="FQ2" s="96">
        <v>45828</v>
      </c>
      <c r="FR2" s="96">
        <v>45829</v>
      </c>
      <c r="FS2" s="96">
        <v>45830</v>
      </c>
      <c r="FT2" s="96">
        <v>45831</v>
      </c>
      <c r="FU2" s="96">
        <v>45832</v>
      </c>
      <c r="FV2" s="97">
        <v>45833</v>
      </c>
      <c r="FW2" s="96">
        <v>45834</v>
      </c>
      <c r="FX2" s="96">
        <v>45835</v>
      </c>
      <c r="FY2" s="96">
        <v>45836</v>
      </c>
      <c r="FZ2" s="96">
        <v>45837</v>
      </c>
      <c r="GA2" s="96">
        <v>45838</v>
      </c>
      <c r="GB2" s="96">
        <v>45839</v>
      </c>
      <c r="GC2" s="96">
        <v>45840</v>
      </c>
      <c r="GD2" s="96">
        <v>45841</v>
      </c>
      <c r="GE2" s="96">
        <v>45842</v>
      </c>
      <c r="GF2" s="96">
        <v>45843</v>
      </c>
      <c r="GG2" s="96">
        <v>45844</v>
      </c>
      <c r="GH2" s="96">
        <v>45845</v>
      </c>
      <c r="GI2" s="96">
        <v>45846</v>
      </c>
      <c r="GJ2" s="97">
        <v>45847</v>
      </c>
      <c r="GK2" s="96">
        <v>45848</v>
      </c>
      <c r="GL2" s="96">
        <v>45849</v>
      </c>
      <c r="GM2" s="96">
        <v>45850</v>
      </c>
      <c r="GN2" s="96">
        <v>45851</v>
      </c>
      <c r="GO2" s="96">
        <v>45852</v>
      </c>
      <c r="GP2" s="96">
        <v>45853</v>
      </c>
      <c r="GQ2" s="97">
        <v>45854</v>
      </c>
      <c r="GR2" s="96">
        <v>45855</v>
      </c>
      <c r="GS2" s="96">
        <v>45856</v>
      </c>
      <c r="GT2" s="96">
        <v>45857</v>
      </c>
      <c r="GU2" s="96">
        <v>45858</v>
      </c>
      <c r="GV2" s="96">
        <v>45859</v>
      </c>
      <c r="GW2" s="96">
        <v>45860</v>
      </c>
      <c r="GX2" s="96">
        <v>45861</v>
      </c>
      <c r="GY2" s="96">
        <v>45862</v>
      </c>
      <c r="GZ2" s="96">
        <v>45863</v>
      </c>
      <c r="HA2" s="96">
        <v>45864</v>
      </c>
      <c r="HB2" s="96">
        <v>45865</v>
      </c>
      <c r="HC2" s="96">
        <v>45866</v>
      </c>
      <c r="HD2" s="96">
        <v>45867</v>
      </c>
      <c r="HE2" s="97">
        <v>45868</v>
      </c>
      <c r="HF2" s="96">
        <v>45869</v>
      </c>
      <c r="HG2" s="96">
        <v>45870</v>
      </c>
      <c r="HH2" s="96">
        <v>45871</v>
      </c>
      <c r="HI2" s="96">
        <v>45872</v>
      </c>
      <c r="HJ2" s="96">
        <v>45873</v>
      </c>
      <c r="HK2" s="96">
        <v>45874</v>
      </c>
      <c r="HL2" s="97">
        <v>45875</v>
      </c>
      <c r="HM2" s="96">
        <v>45876</v>
      </c>
      <c r="HN2" s="96">
        <v>45877</v>
      </c>
      <c r="HO2" s="96">
        <v>45878</v>
      </c>
      <c r="HP2" s="96">
        <v>45879</v>
      </c>
      <c r="HQ2" s="96">
        <v>45880</v>
      </c>
      <c r="HR2" s="96">
        <v>45881</v>
      </c>
      <c r="HS2" s="96">
        <v>45882</v>
      </c>
      <c r="HT2" s="96">
        <v>45883</v>
      </c>
      <c r="HU2" s="96">
        <v>45884</v>
      </c>
      <c r="HV2" s="96">
        <v>45885</v>
      </c>
      <c r="HW2" s="96">
        <v>45886</v>
      </c>
      <c r="HX2" s="96">
        <v>45887</v>
      </c>
      <c r="HY2" s="96">
        <v>45888</v>
      </c>
      <c r="HZ2" s="97">
        <v>45889</v>
      </c>
      <c r="IA2" s="96">
        <v>45890</v>
      </c>
      <c r="IB2" s="96">
        <v>45891</v>
      </c>
      <c r="IC2" s="96">
        <v>45892</v>
      </c>
      <c r="ID2" s="96">
        <v>45893</v>
      </c>
      <c r="IE2" s="96">
        <v>45894</v>
      </c>
      <c r="IF2" s="96">
        <v>45895</v>
      </c>
      <c r="IG2" s="97">
        <v>45896</v>
      </c>
      <c r="IH2" s="96">
        <v>45897</v>
      </c>
      <c r="II2" s="96">
        <v>45898</v>
      </c>
      <c r="IJ2" s="96">
        <v>45899</v>
      </c>
      <c r="IK2" s="96">
        <v>45900</v>
      </c>
      <c r="IL2" s="96">
        <v>45901</v>
      </c>
      <c r="IM2" s="96">
        <v>45902</v>
      </c>
      <c r="IN2" s="96">
        <v>45903</v>
      </c>
      <c r="IO2" s="96">
        <v>45904</v>
      </c>
      <c r="IP2" s="96">
        <v>45905</v>
      </c>
      <c r="IQ2" s="96">
        <v>45906</v>
      </c>
      <c r="IR2" s="96">
        <v>45907</v>
      </c>
      <c r="IS2" s="96">
        <v>45908</v>
      </c>
      <c r="IT2" s="96">
        <v>45909</v>
      </c>
      <c r="IU2" s="96">
        <v>45910</v>
      </c>
      <c r="IV2" s="96">
        <v>45911</v>
      </c>
      <c r="IW2" s="96">
        <v>45912</v>
      </c>
      <c r="IX2" s="96">
        <v>45913</v>
      </c>
      <c r="IY2" s="96">
        <v>45914</v>
      </c>
      <c r="IZ2" s="96">
        <v>45915</v>
      </c>
      <c r="JA2" s="96">
        <v>45916</v>
      </c>
      <c r="JB2" s="97">
        <v>45917</v>
      </c>
      <c r="JC2" s="96">
        <v>45918</v>
      </c>
      <c r="JD2" s="96">
        <v>45919</v>
      </c>
      <c r="JE2" s="96">
        <v>45920</v>
      </c>
      <c r="JF2" s="96">
        <v>45921</v>
      </c>
      <c r="JG2" s="96">
        <v>45922</v>
      </c>
      <c r="JH2" s="96">
        <v>45923</v>
      </c>
      <c r="JI2" s="96">
        <v>45924</v>
      </c>
      <c r="JJ2" s="96">
        <v>45925</v>
      </c>
      <c r="JK2" s="97">
        <v>45926</v>
      </c>
      <c r="JL2" s="96">
        <v>45927</v>
      </c>
      <c r="JM2" s="96">
        <v>45928</v>
      </c>
      <c r="JN2" s="96">
        <v>45929</v>
      </c>
      <c r="JO2" s="96">
        <v>45930</v>
      </c>
      <c r="JP2" s="96">
        <v>45931</v>
      </c>
      <c r="JQ2" s="96">
        <v>45932</v>
      </c>
      <c r="JR2" s="96">
        <v>45933</v>
      </c>
      <c r="JS2" s="96">
        <v>45934</v>
      </c>
      <c r="JT2" s="96">
        <v>45935</v>
      </c>
      <c r="JU2" s="96">
        <v>45936</v>
      </c>
      <c r="JV2" s="96">
        <v>45937</v>
      </c>
      <c r="JW2" s="96">
        <v>45938</v>
      </c>
      <c r="JX2" s="96">
        <v>45939</v>
      </c>
      <c r="JY2" s="96">
        <v>45940</v>
      </c>
      <c r="JZ2" s="96">
        <v>45941</v>
      </c>
      <c r="KA2" s="96">
        <v>45942</v>
      </c>
      <c r="KB2" s="96">
        <v>45943</v>
      </c>
      <c r="KC2" s="96">
        <v>45944</v>
      </c>
      <c r="KD2" s="97">
        <v>45945</v>
      </c>
      <c r="KE2" s="96">
        <v>45946</v>
      </c>
      <c r="KF2" s="96">
        <v>45947</v>
      </c>
      <c r="KG2" s="96">
        <v>45948</v>
      </c>
      <c r="KH2" s="96">
        <v>45949</v>
      </c>
      <c r="KI2" s="96">
        <v>45950</v>
      </c>
      <c r="KJ2" s="96">
        <v>45951</v>
      </c>
      <c r="KK2" s="96">
        <v>45952</v>
      </c>
      <c r="KL2" s="96">
        <v>45953</v>
      </c>
      <c r="KM2" s="96">
        <v>45954</v>
      </c>
      <c r="KN2" s="96">
        <v>45955</v>
      </c>
      <c r="KO2" s="96">
        <v>45956</v>
      </c>
      <c r="KP2" s="96">
        <v>45957</v>
      </c>
      <c r="KQ2" s="96">
        <v>45958</v>
      </c>
      <c r="KR2" s="97">
        <v>45959</v>
      </c>
      <c r="KS2" s="96">
        <v>45960</v>
      </c>
      <c r="KT2" s="96">
        <v>45961</v>
      </c>
      <c r="KU2" s="96">
        <v>45962</v>
      </c>
      <c r="KV2" s="96">
        <v>45963</v>
      </c>
      <c r="KW2" s="96">
        <v>45964</v>
      </c>
      <c r="KX2" s="96">
        <v>45965</v>
      </c>
      <c r="KY2" s="97">
        <v>45966</v>
      </c>
      <c r="KZ2" s="96">
        <v>45967</v>
      </c>
      <c r="LA2" s="96">
        <v>45968</v>
      </c>
      <c r="LB2" s="96">
        <v>45969</v>
      </c>
      <c r="LC2" s="96">
        <v>45970</v>
      </c>
      <c r="LD2" s="96">
        <v>45971</v>
      </c>
      <c r="LE2" s="96">
        <v>45972</v>
      </c>
      <c r="LF2" s="96">
        <v>45973</v>
      </c>
      <c r="LG2" s="96">
        <v>45974</v>
      </c>
      <c r="LH2" s="96">
        <v>45975</v>
      </c>
      <c r="LI2" s="96">
        <v>45976</v>
      </c>
      <c r="LJ2" s="96">
        <v>45977</v>
      </c>
      <c r="LK2" s="96">
        <v>45978</v>
      </c>
      <c r="LL2" s="96">
        <v>45979</v>
      </c>
      <c r="LM2" s="97">
        <v>45980</v>
      </c>
      <c r="LN2" s="96">
        <v>45981</v>
      </c>
      <c r="LO2" s="96">
        <v>45982</v>
      </c>
      <c r="LP2" s="96">
        <v>45983</v>
      </c>
      <c r="LQ2" s="96">
        <v>45984</v>
      </c>
      <c r="LR2" s="96">
        <v>45985</v>
      </c>
      <c r="LS2" s="96">
        <v>45986</v>
      </c>
      <c r="LT2" s="96">
        <v>45987</v>
      </c>
      <c r="LU2" s="96">
        <v>45988</v>
      </c>
      <c r="LV2" s="96">
        <v>45989</v>
      </c>
      <c r="LW2" s="96">
        <v>45990</v>
      </c>
      <c r="LX2" s="96">
        <v>45991</v>
      </c>
      <c r="LY2" s="96">
        <v>45992</v>
      </c>
      <c r="LZ2" s="96">
        <v>45993</v>
      </c>
      <c r="MA2" s="97">
        <v>45994</v>
      </c>
      <c r="MB2" s="96">
        <v>45995</v>
      </c>
      <c r="MC2" s="96">
        <v>45996</v>
      </c>
      <c r="MD2" s="96">
        <v>45997</v>
      </c>
      <c r="ME2" s="96">
        <v>45998</v>
      </c>
      <c r="MF2" s="96">
        <v>45999</v>
      </c>
      <c r="MG2" s="96">
        <v>46000</v>
      </c>
      <c r="MH2" s="96">
        <v>46001</v>
      </c>
      <c r="MI2" s="96">
        <v>46002</v>
      </c>
      <c r="MJ2" s="96">
        <v>46003</v>
      </c>
      <c r="MK2" s="96">
        <v>46004</v>
      </c>
      <c r="ML2" s="96">
        <v>46005</v>
      </c>
      <c r="MM2" s="96">
        <v>46006</v>
      </c>
      <c r="MN2" s="96">
        <v>46007</v>
      </c>
      <c r="MO2" s="97">
        <v>46008</v>
      </c>
      <c r="MP2" s="96">
        <v>46009</v>
      </c>
      <c r="MQ2" s="96">
        <v>46010</v>
      </c>
      <c r="MR2" s="96">
        <v>46011</v>
      </c>
      <c r="MS2" s="96">
        <v>46012</v>
      </c>
      <c r="MT2" s="96">
        <v>46013</v>
      </c>
      <c r="MU2" s="96">
        <v>46014</v>
      </c>
      <c r="MV2" s="96">
        <v>46015</v>
      </c>
      <c r="MW2" s="96">
        <v>46016</v>
      </c>
      <c r="MX2" s="96">
        <v>46017</v>
      </c>
      <c r="MY2" s="96">
        <v>46018</v>
      </c>
      <c r="MZ2" s="96">
        <v>46019</v>
      </c>
      <c r="NA2" s="96">
        <v>46020</v>
      </c>
      <c r="NB2" s="96">
        <v>46021</v>
      </c>
      <c r="NC2" s="97">
        <v>46022</v>
      </c>
      <c r="ND2" s="96">
        <v>46023</v>
      </c>
      <c r="NE2" s="96">
        <v>46024</v>
      </c>
      <c r="NF2" s="96">
        <v>46025</v>
      </c>
      <c r="NG2" s="96">
        <v>46026</v>
      </c>
      <c r="NH2" s="96">
        <v>46027</v>
      </c>
      <c r="NI2" s="96">
        <v>46028</v>
      </c>
      <c r="NJ2" s="96">
        <v>46029</v>
      </c>
      <c r="NK2" s="96">
        <v>46030</v>
      </c>
    </row>
    <row r="3" spans="1:378">
      <c r="A3" s="156">
        <f>A2/260288</f>
        <v>1.2145162281780182</v>
      </c>
      <c r="B3" s="157"/>
      <c r="C3" s="3">
        <v>4</v>
      </c>
      <c r="D3" s="3">
        <v>5</v>
      </c>
      <c r="E3" s="3">
        <v>6</v>
      </c>
      <c r="F3" s="3">
        <v>7</v>
      </c>
      <c r="G3" s="3" t="s">
        <v>11</v>
      </c>
      <c r="H3" s="3">
        <v>2</v>
      </c>
      <c r="I3" s="3">
        <v>3</v>
      </c>
      <c r="J3" s="3">
        <v>4</v>
      </c>
      <c r="K3" s="3">
        <v>5</v>
      </c>
      <c r="L3" s="3">
        <v>6</v>
      </c>
      <c r="M3" s="3">
        <v>7</v>
      </c>
      <c r="N3" s="3" t="s">
        <v>11</v>
      </c>
      <c r="O3" s="3">
        <v>2</v>
      </c>
      <c r="P3" s="3">
        <v>3</v>
      </c>
      <c r="Q3" s="3">
        <v>4</v>
      </c>
      <c r="R3" s="3">
        <v>5</v>
      </c>
      <c r="S3" s="3">
        <v>6</v>
      </c>
      <c r="T3" s="3">
        <v>7</v>
      </c>
      <c r="U3" s="3" t="s">
        <v>11</v>
      </c>
      <c r="V3" s="3">
        <v>2</v>
      </c>
      <c r="W3" s="3">
        <v>3</v>
      </c>
      <c r="X3" s="3">
        <v>4</v>
      </c>
      <c r="Y3" s="3">
        <v>5</v>
      </c>
      <c r="Z3" s="3">
        <v>6</v>
      </c>
      <c r="AA3" s="3">
        <v>7</v>
      </c>
      <c r="AB3" s="3" t="s">
        <v>11</v>
      </c>
      <c r="AC3" s="3">
        <v>2</v>
      </c>
      <c r="AD3" s="3">
        <v>3</v>
      </c>
      <c r="AE3" s="3">
        <v>4</v>
      </c>
      <c r="AF3" s="3">
        <v>5</v>
      </c>
      <c r="AG3" s="3">
        <v>6</v>
      </c>
      <c r="AH3" s="3">
        <v>7</v>
      </c>
      <c r="AI3" s="3" t="s">
        <v>11</v>
      </c>
      <c r="AJ3" s="3">
        <v>2</v>
      </c>
      <c r="AK3" s="3">
        <v>3</v>
      </c>
      <c r="AL3" s="3">
        <v>4</v>
      </c>
      <c r="AM3" s="3">
        <v>5</v>
      </c>
      <c r="AN3" s="3">
        <v>6</v>
      </c>
      <c r="AO3" s="3">
        <v>7</v>
      </c>
      <c r="AP3" s="3" t="s">
        <v>11</v>
      </c>
      <c r="AQ3" s="3">
        <v>2</v>
      </c>
      <c r="AR3" s="3">
        <v>3</v>
      </c>
      <c r="AS3" s="3">
        <v>4</v>
      </c>
      <c r="AT3" s="3">
        <v>5</v>
      </c>
      <c r="AU3" s="3">
        <v>6</v>
      </c>
      <c r="AV3" s="3">
        <v>7</v>
      </c>
      <c r="AW3" s="3" t="s">
        <v>11</v>
      </c>
      <c r="AX3" s="3">
        <v>2</v>
      </c>
      <c r="AY3" s="3">
        <v>3</v>
      </c>
      <c r="AZ3" s="3">
        <v>4</v>
      </c>
      <c r="BA3" s="3">
        <v>5</v>
      </c>
      <c r="BB3" s="3">
        <v>6</v>
      </c>
      <c r="BC3" s="3">
        <v>7</v>
      </c>
      <c r="BD3" s="3" t="s">
        <v>11</v>
      </c>
      <c r="BE3" s="3">
        <v>2</v>
      </c>
      <c r="BF3" s="3">
        <v>3</v>
      </c>
      <c r="BG3" s="3">
        <v>4</v>
      </c>
      <c r="BH3" s="3">
        <v>5</v>
      </c>
      <c r="BI3" s="3">
        <v>6</v>
      </c>
      <c r="BJ3" s="3">
        <v>7</v>
      </c>
      <c r="BK3" s="3" t="s">
        <v>11</v>
      </c>
      <c r="BL3" s="3">
        <v>2</v>
      </c>
      <c r="BM3" s="3">
        <v>3</v>
      </c>
      <c r="BN3" s="3">
        <v>4</v>
      </c>
      <c r="BO3" s="3">
        <v>5</v>
      </c>
      <c r="BP3" s="3">
        <v>6</v>
      </c>
      <c r="BQ3" s="3">
        <v>7</v>
      </c>
      <c r="BR3" s="3" t="s">
        <v>11</v>
      </c>
      <c r="BS3" s="3">
        <v>2</v>
      </c>
      <c r="BT3" s="3">
        <v>3</v>
      </c>
      <c r="BU3" s="3">
        <v>4</v>
      </c>
      <c r="BV3" s="3">
        <v>5</v>
      </c>
      <c r="BW3" s="3">
        <v>6</v>
      </c>
      <c r="BX3" s="3">
        <v>7</v>
      </c>
      <c r="BY3" s="3" t="s">
        <v>11</v>
      </c>
      <c r="BZ3" s="3">
        <v>2</v>
      </c>
      <c r="CA3" s="3">
        <v>3</v>
      </c>
      <c r="CB3" s="3">
        <v>4</v>
      </c>
      <c r="CC3" s="3">
        <v>5</v>
      </c>
      <c r="CD3" s="3">
        <v>6</v>
      </c>
      <c r="CE3" s="3">
        <v>7</v>
      </c>
      <c r="CF3" s="3" t="s">
        <v>11</v>
      </c>
      <c r="CG3" s="3">
        <v>2</v>
      </c>
      <c r="CH3" s="3">
        <v>3</v>
      </c>
      <c r="CI3" s="3">
        <v>4</v>
      </c>
      <c r="CJ3" s="3">
        <v>5</v>
      </c>
      <c r="CK3" s="3">
        <v>6</v>
      </c>
      <c r="CL3" s="3">
        <v>7</v>
      </c>
      <c r="CM3" s="3" t="s">
        <v>11</v>
      </c>
      <c r="CN3" s="3">
        <v>2</v>
      </c>
      <c r="CO3" s="3">
        <v>3</v>
      </c>
      <c r="CP3" s="3">
        <v>4</v>
      </c>
      <c r="CQ3" s="3">
        <v>5</v>
      </c>
      <c r="CR3" s="3">
        <v>6</v>
      </c>
      <c r="CS3" s="3">
        <v>7</v>
      </c>
      <c r="CT3" s="3" t="s">
        <v>11</v>
      </c>
      <c r="CU3" s="3">
        <v>2</v>
      </c>
      <c r="CV3" s="3">
        <v>3</v>
      </c>
      <c r="CW3" s="3">
        <v>4</v>
      </c>
      <c r="CX3" s="3">
        <v>5</v>
      </c>
      <c r="CY3" s="3">
        <v>6</v>
      </c>
      <c r="CZ3" s="3">
        <v>7</v>
      </c>
      <c r="DA3" s="3" t="s">
        <v>11</v>
      </c>
      <c r="DB3" s="3">
        <v>2</v>
      </c>
      <c r="DC3" s="3">
        <v>3</v>
      </c>
      <c r="DD3" s="3">
        <v>4</v>
      </c>
      <c r="DE3" s="3">
        <v>5</v>
      </c>
      <c r="DF3" s="3">
        <v>6</v>
      </c>
      <c r="DG3" s="3">
        <v>7</v>
      </c>
      <c r="DH3" s="3" t="s">
        <v>11</v>
      </c>
      <c r="DI3" s="3">
        <v>2</v>
      </c>
      <c r="DJ3" s="3">
        <v>3</v>
      </c>
      <c r="DK3" s="3">
        <v>4</v>
      </c>
      <c r="DL3" s="3">
        <v>5</v>
      </c>
      <c r="DM3" s="3">
        <v>6</v>
      </c>
      <c r="DN3" s="3">
        <v>7</v>
      </c>
      <c r="DO3" s="3" t="s">
        <v>11</v>
      </c>
      <c r="DP3" s="3">
        <v>2</v>
      </c>
      <c r="DQ3" s="3">
        <v>3</v>
      </c>
      <c r="DR3" s="3">
        <v>4</v>
      </c>
      <c r="DS3" s="3">
        <v>5</v>
      </c>
      <c r="DT3" s="3">
        <v>6</v>
      </c>
      <c r="DU3" s="3">
        <v>7</v>
      </c>
      <c r="DV3" s="3" t="s">
        <v>11</v>
      </c>
      <c r="DW3" s="3">
        <v>2</v>
      </c>
      <c r="DX3" s="3">
        <v>3</v>
      </c>
      <c r="DY3" s="3">
        <v>4</v>
      </c>
      <c r="DZ3" s="3">
        <v>5</v>
      </c>
      <c r="EA3" s="3">
        <v>6</v>
      </c>
      <c r="EB3" s="3">
        <v>7</v>
      </c>
      <c r="EC3" s="3" t="s">
        <v>11</v>
      </c>
      <c r="ED3" s="3">
        <v>2</v>
      </c>
      <c r="EE3" s="3">
        <v>3</v>
      </c>
      <c r="EF3" s="3">
        <v>4</v>
      </c>
      <c r="EG3" s="3">
        <v>5</v>
      </c>
      <c r="EH3" s="3">
        <v>6</v>
      </c>
      <c r="EI3" s="3">
        <v>7</v>
      </c>
      <c r="EJ3" s="3" t="s">
        <v>11</v>
      </c>
      <c r="EK3" s="3">
        <v>2</v>
      </c>
      <c r="EL3" s="3">
        <v>3</v>
      </c>
      <c r="EM3" s="3">
        <v>4</v>
      </c>
      <c r="EN3" s="3">
        <v>5</v>
      </c>
      <c r="EO3" s="3">
        <v>6</v>
      </c>
      <c r="EP3" s="3">
        <v>7</v>
      </c>
      <c r="EQ3" s="3" t="s">
        <v>11</v>
      </c>
      <c r="ER3" s="3">
        <v>2</v>
      </c>
      <c r="ES3" s="3">
        <v>3</v>
      </c>
      <c r="ET3" s="3">
        <v>4</v>
      </c>
      <c r="EU3" s="3">
        <v>5</v>
      </c>
      <c r="EV3" s="3">
        <v>6</v>
      </c>
      <c r="EW3" s="3">
        <v>7</v>
      </c>
      <c r="EX3" s="3" t="s">
        <v>11</v>
      </c>
      <c r="EY3" s="3">
        <v>2</v>
      </c>
      <c r="EZ3" s="3">
        <v>3</v>
      </c>
      <c r="FA3" s="3">
        <v>4</v>
      </c>
      <c r="FB3" s="3">
        <v>5</v>
      </c>
      <c r="FC3" s="3">
        <v>6</v>
      </c>
      <c r="FD3" s="3">
        <v>7</v>
      </c>
      <c r="FE3" s="3" t="s">
        <v>11</v>
      </c>
      <c r="FF3" s="3">
        <v>2</v>
      </c>
      <c r="FG3" s="3">
        <v>3</v>
      </c>
      <c r="FH3" s="3">
        <v>4</v>
      </c>
      <c r="FI3" s="3">
        <v>5</v>
      </c>
      <c r="FJ3" s="3">
        <v>6</v>
      </c>
      <c r="FK3" s="3">
        <v>7</v>
      </c>
      <c r="FL3" s="3" t="s">
        <v>11</v>
      </c>
      <c r="FM3" s="3">
        <v>2</v>
      </c>
      <c r="FN3" s="3">
        <v>3</v>
      </c>
      <c r="FO3" s="3">
        <v>4</v>
      </c>
      <c r="FP3" s="3">
        <v>5</v>
      </c>
      <c r="FQ3" s="3">
        <v>6</v>
      </c>
      <c r="FR3" s="3">
        <v>7</v>
      </c>
      <c r="FS3" s="3" t="s">
        <v>11</v>
      </c>
      <c r="FT3" s="3">
        <v>2</v>
      </c>
      <c r="FU3" s="3">
        <v>3</v>
      </c>
      <c r="FV3" s="3">
        <v>4</v>
      </c>
      <c r="FW3" s="3">
        <v>5</v>
      </c>
      <c r="FX3" s="3">
        <v>6</v>
      </c>
      <c r="FY3" s="3">
        <v>7</v>
      </c>
      <c r="FZ3" s="3" t="s">
        <v>11</v>
      </c>
      <c r="GA3" s="3">
        <v>2</v>
      </c>
      <c r="GB3" s="3">
        <v>3</v>
      </c>
      <c r="GC3" s="3">
        <v>4</v>
      </c>
      <c r="GD3" s="3">
        <v>5</v>
      </c>
      <c r="GE3" s="3">
        <v>6</v>
      </c>
      <c r="GF3" s="3">
        <v>7</v>
      </c>
      <c r="GG3" s="3" t="s">
        <v>11</v>
      </c>
      <c r="GH3" s="3">
        <v>2</v>
      </c>
      <c r="GI3" s="3">
        <v>3</v>
      </c>
      <c r="GJ3" s="3">
        <v>4</v>
      </c>
      <c r="GK3" s="3">
        <v>5</v>
      </c>
      <c r="GL3" s="3">
        <v>6</v>
      </c>
      <c r="GM3" s="3">
        <v>7</v>
      </c>
      <c r="GN3" s="3" t="s">
        <v>11</v>
      </c>
      <c r="GO3" s="3">
        <v>2</v>
      </c>
      <c r="GP3" s="3">
        <v>3</v>
      </c>
      <c r="GQ3" s="3">
        <v>4</v>
      </c>
      <c r="GR3" s="3">
        <v>5</v>
      </c>
      <c r="GS3" s="3">
        <v>6</v>
      </c>
      <c r="GT3" s="3">
        <v>7</v>
      </c>
      <c r="GU3" s="3" t="s">
        <v>11</v>
      </c>
      <c r="GV3" s="3">
        <v>2</v>
      </c>
      <c r="GW3" s="3">
        <v>3</v>
      </c>
      <c r="GX3" s="3">
        <v>4</v>
      </c>
      <c r="GY3" s="3">
        <v>5</v>
      </c>
      <c r="GZ3" s="3">
        <v>6</v>
      </c>
      <c r="HA3" s="3">
        <v>7</v>
      </c>
      <c r="HB3" s="3" t="s">
        <v>11</v>
      </c>
      <c r="HC3" s="3">
        <v>2</v>
      </c>
      <c r="HD3" s="3">
        <v>3</v>
      </c>
      <c r="HE3" s="3">
        <v>4</v>
      </c>
      <c r="HF3" s="3">
        <v>5</v>
      </c>
      <c r="HG3" s="3">
        <v>6</v>
      </c>
      <c r="HH3" s="3">
        <v>7</v>
      </c>
      <c r="HI3" s="3" t="s">
        <v>11</v>
      </c>
      <c r="HJ3" s="3">
        <v>2</v>
      </c>
      <c r="HK3" s="3">
        <v>3</v>
      </c>
      <c r="HL3" s="3">
        <v>4</v>
      </c>
      <c r="HM3" s="3">
        <v>5</v>
      </c>
      <c r="HN3" s="3">
        <v>6</v>
      </c>
      <c r="HO3" s="3">
        <v>7</v>
      </c>
      <c r="HP3" s="3" t="s">
        <v>11</v>
      </c>
      <c r="HQ3" s="3">
        <v>2</v>
      </c>
      <c r="HR3" s="3">
        <v>3</v>
      </c>
      <c r="HS3" s="3">
        <v>4</v>
      </c>
      <c r="HT3" s="3">
        <v>5</v>
      </c>
      <c r="HU3" s="3">
        <v>6</v>
      </c>
      <c r="HV3" s="3">
        <v>7</v>
      </c>
      <c r="HW3" s="3" t="s">
        <v>11</v>
      </c>
      <c r="HX3" s="3">
        <v>2</v>
      </c>
      <c r="HY3" s="3">
        <v>3</v>
      </c>
      <c r="HZ3" s="3">
        <v>4</v>
      </c>
      <c r="IA3" s="3">
        <v>5</v>
      </c>
      <c r="IB3" s="3">
        <v>6</v>
      </c>
      <c r="IC3" s="3">
        <v>7</v>
      </c>
      <c r="ID3" s="3" t="s">
        <v>11</v>
      </c>
      <c r="IE3" s="3">
        <v>2</v>
      </c>
      <c r="IF3" s="3">
        <v>3</v>
      </c>
      <c r="IG3" s="3">
        <v>4</v>
      </c>
      <c r="IH3" s="3">
        <v>5</v>
      </c>
      <c r="II3" s="3">
        <v>6</v>
      </c>
      <c r="IJ3" s="3">
        <v>7</v>
      </c>
      <c r="IK3" s="3" t="s">
        <v>11</v>
      </c>
      <c r="IL3" s="3">
        <v>2</v>
      </c>
      <c r="IM3" s="3">
        <v>3</v>
      </c>
      <c r="IN3" s="3">
        <v>4</v>
      </c>
      <c r="IO3" s="3">
        <v>5</v>
      </c>
      <c r="IP3" s="3">
        <v>6</v>
      </c>
      <c r="IQ3" s="3">
        <v>7</v>
      </c>
      <c r="IR3" s="3" t="s">
        <v>11</v>
      </c>
      <c r="IS3" s="3">
        <v>2</v>
      </c>
      <c r="IT3" s="3">
        <v>3</v>
      </c>
      <c r="IU3" s="3">
        <v>4</v>
      </c>
      <c r="IV3" s="3">
        <v>5</v>
      </c>
      <c r="IW3" s="3">
        <v>6</v>
      </c>
      <c r="IX3" s="3">
        <v>7</v>
      </c>
      <c r="IY3" s="3" t="s">
        <v>11</v>
      </c>
      <c r="IZ3" s="3">
        <v>2</v>
      </c>
      <c r="JA3" s="3">
        <v>3</v>
      </c>
      <c r="JB3" s="3">
        <v>4</v>
      </c>
      <c r="JC3" s="3">
        <v>5</v>
      </c>
      <c r="JD3" s="3">
        <v>6</v>
      </c>
      <c r="JE3" s="3">
        <v>7</v>
      </c>
      <c r="JF3" s="3" t="s">
        <v>11</v>
      </c>
      <c r="JG3" s="3">
        <v>2</v>
      </c>
      <c r="JH3" s="3">
        <v>3</v>
      </c>
      <c r="JI3" s="3">
        <v>4</v>
      </c>
      <c r="JJ3" s="3">
        <v>5</v>
      </c>
      <c r="JK3" s="3">
        <v>6</v>
      </c>
      <c r="JL3" s="3">
        <v>7</v>
      </c>
      <c r="JM3" s="3" t="s">
        <v>11</v>
      </c>
      <c r="JN3" s="3">
        <v>2</v>
      </c>
      <c r="JO3" s="3">
        <v>3</v>
      </c>
      <c r="JP3" s="3">
        <v>4</v>
      </c>
      <c r="JQ3" s="3">
        <v>5</v>
      </c>
      <c r="JR3" s="3">
        <v>6</v>
      </c>
      <c r="JS3" s="3">
        <v>7</v>
      </c>
      <c r="JT3" s="3" t="s">
        <v>11</v>
      </c>
      <c r="JU3" s="3">
        <v>2</v>
      </c>
      <c r="JV3" s="3">
        <v>3</v>
      </c>
      <c r="JW3" s="3">
        <v>4</v>
      </c>
      <c r="JX3" s="3">
        <v>5</v>
      </c>
      <c r="JY3" s="3">
        <v>6</v>
      </c>
      <c r="JZ3" s="3">
        <v>7</v>
      </c>
      <c r="KA3" s="3" t="s">
        <v>11</v>
      </c>
      <c r="KB3" s="3">
        <v>2</v>
      </c>
      <c r="KC3" s="3">
        <v>3</v>
      </c>
      <c r="KD3" s="3">
        <v>4</v>
      </c>
      <c r="KE3" s="3">
        <v>5</v>
      </c>
      <c r="KF3" s="3">
        <v>6</v>
      </c>
      <c r="KG3" s="3">
        <v>7</v>
      </c>
      <c r="KH3" s="3" t="s">
        <v>11</v>
      </c>
      <c r="KI3" s="3">
        <v>2</v>
      </c>
      <c r="KJ3" s="3">
        <v>3</v>
      </c>
      <c r="KK3" s="3">
        <v>4</v>
      </c>
      <c r="KL3" s="3">
        <v>5</v>
      </c>
      <c r="KM3" s="3">
        <v>6</v>
      </c>
      <c r="KN3" s="3">
        <v>7</v>
      </c>
      <c r="KO3" s="3" t="s">
        <v>11</v>
      </c>
      <c r="KP3" s="3">
        <v>2</v>
      </c>
      <c r="KQ3" s="3">
        <v>3</v>
      </c>
      <c r="KR3" s="3">
        <v>4</v>
      </c>
      <c r="KS3" s="3">
        <v>5</v>
      </c>
      <c r="KT3" s="3">
        <v>6</v>
      </c>
      <c r="KU3" s="3">
        <v>7</v>
      </c>
      <c r="KV3" s="3" t="s">
        <v>11</v>
      </c>
      <c r="KW3" s="3">
        <v>2</v>
      </c>
      <c r="KX3" s="3">
        <v>3</v>
      </c>
      <c r="KY3" s="3">
        <v>4</v>
      </c>
      <c r="KZ3" s="3">
        <v>5</v>
      </c>
      <c r="LA3" s="3">
        <v>6</v>
      </c>
      <c r="LB3" s="3">
        <v>7</v>
      </c>
      <c r="LC3" s="3" t="s">
        <v>11</v>
      </c>
      <c r="LD3" s="3">
        <v>2</v>
      </c>
      <c r="LE3" s="3">
        <v>3</v>
      </c>
      <c r="LF3" s="3">
        <v>4</v>
      </c>
      <c r="LG3" s="3">
        <v>5</v>
      </c>
      <c r="LH3" s="3">
        <v>6</v>
      </c>
      <c r="LI3" s="3">
        <v>7</v>
      </c>
      <c r="LJ3" s="3" t="s">
        <v>11</v>
      </c>
      <c r="LK3" s="3">
        <v>2</v>
      </c>
      <c r="LL3" s="3">
        <v>3</v>
      </c>
      <c r="LM3" s="3">
        <v>4</v>
      </c>
      <c r="LN3" s="3">
        <v>5</v>
      </c>
      <c r="LO3" s="3">
        <v>6</v>
      </c>
      <c r="LP3" s="3">
        <v>7</v>
      </c>
      <c r="LQ3" s="3" t="s">
        <v>11</v>
      </c>
      <c r="LR3" s="3">
        <v>2</v>
      </c>
      <c r="LS3" s="3">
        <v>3</v>
      </c>
      <c r="LT3" s="3">
        <v>4</v>
      </c>
      <c r="LU3" s="3">
        <v>5</v>
      </c>
      <c r="LV3" s="3">
        <v>6</v>
      </c>
      <c r="LW3" s="3">
        <v>7</v>
      </c>
      <c r="LX3" s="3" t="s">
        <v>11</v>
      </c>
      <c r="LY3" s="3">
        <v>2</v>
      </c>
      <c r="LZ3" s="3">
        <v>3</v>
      </c>
      <c r="MA3" s="3">
        <v>4</v>
      </c>
      <c r="MB3" s="3">
        <v>5</v>
      </c>
      <c r="MC3" s="3">
        <v>6</v>
      </c>
      <c r="MD3" s="3">
        <v>7</v>
      </c>
      <c r="ME3" s="3" t="s">
        <v>11</v>
      </c>
      <c r="MF3" s="3">
        <v>2</v>
      </c>
      <c r="MG3" s="3">
        <v>3</v>
      </c>
      <c r="MH3" s="3">
        <v>4</v>
      </c>
      <c r="MI3" s="3">
        <v>5</v>
      </c>
      <c r="MJ3" s="3">
        <v>6</v>
      </c>
      <c r="MK3" s="3">
        <v>7</v>
      </c>
      <c r="ML3" s="3" t="s">
        <v>11</v>
      </c>
      <c r="MM3" s="3">
        <v>2</v>
      </c>
      <c r="MN3" s="3">
        <v>3</v>
      </c>
      <c r="MO3" s="3">
        <v>4</v>
      </c>
      <c r="MP3" s="3">
        <v>5</v>
      </c>
      <c r="MQ3" s="3">
        <v>6</v>
      </c>
      <c r="MR3" s="3">
        <v>7</v>
      </c>
      <c r="MS3" s="3" t="s">
        <v>11</v>
      </c>
      <c r="MT3" s="3">
        <v>2</v>
      </c>
      <c r="MU3" s="3">
        <v>3</v>
      </c>
      <c r="MV3" s="3">
        <v>4</v>
      </c>
      <c r="MW3" s="3">
        <v>5</v>
      </c>
      <c r="MX3" s="3">
        <v>6</v>
      </c>
      <c r="MY3" s="3">
        <v>7</v>
      </c>
      <c r="MZ3" s="3" t="s">
        <v>11</v>
      </c>
      <c r="NA3" s="3">
        <v>2</v>
      </c>
      <c r="NB3" s="3">
        <v>3</v>
      </c>
      <c r="NC3" s="3">
        <v>4</v>
      </c>
      <c r="ND3" s="3">
        <v>5</v>
      </c>
      <c r="NE3" s="3">
        <v>6</v>
      </c>
      <c r="NF3" s="3">
        <v>7</v>
      </c>
      <c r="NG3" s="3" t="s">
        <v>11</v>
      </c>
      <c r="NH3" s="3">
        <v>2</v>
      </c>
      <c r="NI3" s="3">
        <v>3</v>
      </c>
      <c r="NJ3" s="3">
        <v>4</v>
      </c>
      <c r="NK3" s="3">
        <v>5</v>
      </c>
      <c r="NL3" s="3">
        <v>6</v>
      </c>
      <c r="NM3" s="3">
        <v>7</v>
      </c>
      <c r="NN3" s="3" t="s">
        <v>11</v>
      </c>
    </row>
    <row r="4" spans="1:378">
      <c r="A4" s="158" t="s">
        <v>167</v>
      </c>
      <c r="B4" s="159"/>
      <c r="C4" s="77">
        <f>ROUND(REV!B4/1000000,0)</f>
        <v>819</v>
      </c>
      <c r="D4" s="77">
        <f>ROUND(REV!C4/1000000,0)</f>
        <v>621</v>
      </c>
      <c r="E4" s="77">
        <f>ROUND(REV!D4/1000000,0)</f>
        <v>2038</v>
      </c>
      <c r="F4" s="77">
        <f>ROUND(REV!E4/1000000,0)</f>
        <v>1379</v>
      </c>
      <c r="G4" s="77">
        <f>ROUND(REV!F4/1000000,0)</f>
        <v>908</v>
      </c>
      <c r="H4" s="77">
        <f>ROUND(REV!G4/1000000,0)</f>
        <v>1407</v>
      </c>
      <c r="I4" s="77">
        <f>ROUND(REV!H4/1000000,0)</f>
        <v>843</v>
      </c>
      <c r="J4" s="77">
        <f>ROUND(REV!I4/1000000,0)</f>
        <v>718</v>
      </c>
      <c r="K4" s="77">
        <f>ROUND(REV!J4/1000000,0)</f>
        <v>1169</v>
      </c>
      <c r="L4" s="77">
        <f>ROUND(REV!K4/1000000,0)</f>
        <v>968</v>
      </c>
      <c r="M4" s="77">
        <f>ROUND(REV!L4/1000000,0)</f>
        <v>898</v>
      </c>
      <c r="N4" s="77">
        <f>ROUND(REV!M4/1000000,0)</f>
        <v>627</v>
      </c>
      <c r="O4" s="77">
        <f>ROUND(REV!N4/1000000,0)</f>
        <v>910</v>
      </c>
      <c r="P4" s="77">
        <f>ROUND(REV!O4/1000000,0)</f>
        <v>1017</v>
      </c>
      <c r="Q4" s="77">
        <f>ROUND(REV!P4/1000000,0)</f>
        <v>1044</v>
      </c>
      <c r="R4" s="77">
        <f>ROUND(REV!Q4/1000000,0)</f>
        <v>1242</v>
      </c>
      <c r="S4" s="77">
        <f>ROUND(REV!R4/1000000,0)</f>
        <v>1419</v>
      </c>
      <c r="T4" s="77">
        <f>ROUND(REV!S4/1000000,0)</f>
        <v>1328</v>
      </c>
      <c r="U4" s="77">
        <f>ROUND(REV!T4/1000000,0)</f>
        <v>634</v>
      </c>
      <c r="V4" s="77">
        <f>ROUND(REV!U4/1000000,0)</f>
        <v>1176</v>
      </c>
      <c r="W4" s="77">
        <f>ROUND(REV!V4/1000000,0)</f>
        <v>1749</v>
      </c>
      <c r="X4" s="77">
        <f>ROUND(REV!W4/1000000,0)</f>
        <v>1435</v>
      </c>
      <c r="Y4" s="77">
        <f>ROUND(REV!X4/1000000,0)</f>
        <v>957</v>
      </c>
      <c r="Z4" s="77">
        <f>ROUND(REV!Y4/1000000,0)</f>
        <v>1218</v>
      </c>
      <c r="AA4" s="77">
        <f>ROUND(REV!Z4/1000000,0)</f>
        <v>796</v>
      </c>
      <c r="AB4" s="77">
        <f>ROUND(REV!AA4/1000000,0)</f>
        <v>706</v>
      </c>
      <c r="AC4" s="77">
        <f>ROUND(REV!AB4/1000000,0)</f>
        <v>708</v>
      </c>
      <c r="AD4" s="77">
        <f>ROUND(REV!AC4/1000000,0)</f>
        <v>755</v>
      </c>
      <c r="AE4" s="77">
        <f>ROUND(REV!AD4/1000000,0)</f>
        <v>499</v>
      </c>
      <c r="AF4" s="77">
        <f>ROUND(REV!AE4/1000000,0)</f>
        <v>629</v>
      </c>
      <c r="AG4" s="77">
        <f>ROUND(REV!AF4/1000000,0)</f>
        <v>382</v>
      </c>
      <c r="AH4" s="77">
        <f>ROUND(REV!AG4/1000000,0)</f>
        <v>641</v>
      </c>
      <c r="AI4" s="77">
        <f>ROUND(REV!AH4/1000000,0)</f>
        <v>498</v>
      </c>
      <c r="AJ4" s="77">
        <f>ROUND(REV!AI4/1000000,0)</f>
        <v>2496</v>
      </c>
      <c r="AK4" s="77">
        <f>ROUND(REV!AJ4/1000000,0)</f>
        <v>1338</v>
      </c>
      <c r="AL4" s="77">
        <f>ROUND(REV!AK4/1000000,0)</f>
        <v>846</v>
      </c>
      <c r="AM4" s="77">
        <f>ROUND(REV!AL4/1000000,0)</f>
        <v>994</v>
      </c>
      <c r="AN4" s="77">
        <f>ROUND(REV!AM4/1000000,0)</f>
        <v>1003</v>
      </c>
      <c r="AO4" s="77">
        <f>ROUND(REV!AN4/1000000,0)</f>
        <v>1016</v>
      </c>
      <c r="AP4" s="77">
        <f>ROUND(REV!AO4/1000000,0)</f>
        <v>589</v>
      </c>
      <c r="AQ4" s="77">
        <f>ROUND(REV!AP4/1000000,0)</f>
        <v>958</v>
      </c>
      <c r="AR4" s="77">
        <f>ROUND(REV!AQ4/1000000,0)</f>
        <v>914</v>
      </c>
      <c r="AS4" s="77">
        <f>ROUND(REV!AR4/1000000,0)</f>
        <v>1288</v>
      </c>
      <c r="AT4" s="77">
        <f>ROUND(REV!AS4/1000000,0)</f>
        <v>1027</v>
      </c>
      <c r="AU4" s="77">
        <f>ROUND(REV!AT4/1000000,0)</f>
        <v>1255</v>
      </c>
      <c r="AV4" s="77">
        <f>ROUND(REV!AU4/1000000,0)</f>
        <v>599</v>
      </c>
      <c r="AW4" s="77">
        <f>ROUND(REV!AV4/1000000,0)</f>
        <v>592</v>
      </c>
      <c r="AX4" s="77">
        <f>ROUND(REV!AW4/1000000,0)</f>
        <v>602</v>
      </c>
      <c r="AY4" s="77">
        <f>ROUND(REV!AX4/1000000,0)</f>
        <v>552</v>
      </c>
      <c r="AZ4" s="77">
        <f>ROUND(REV!AY4/1000000,0)</f>
        <v>472</v>
      </c>
      <c r="BA4" s="77">
        <f>ROUND(REV!AZ4/1000000,0)</f>
        <v>1216</v>
      </c>
      <c r="BB4" s="77">
        <f>ROUND(REV!BA4/1000000,0)</f>
        <v>926</v>
      </c>
      <c r="BC4" s="77">
        <f>ROUND(REV!BB4/1000000,0)</f>
        <v>832</v>
      </c>
      <c r="BD4" s="77">
        <f>ROUND(REV!BC4/1000000,0)</f>
        <v>623</v>
      </c>
      <c r="BE4" s="77">
        <f>ROUND(REV!BD4/1000000,0)</f>
        <v>609</v>
      </c>
      <c r="BF4" s="77">
        <f>ROUND(REV!BE4/1000000,0)</f>
        <v>954</v>
      </c>
      <c r="BG4" s="77">
        <f>ROUND(REV!BF4/1000000,0)</f>
        <v>976</v>
      </c>
      <c r="BH4" s="77">
        <f>ROUND(REV!BG4/1000000,0)</f>
        <v>698</v>
      </c>
      <c r="BI4" s="77">
        <f>ROUND(REV!BH4/1000000,0)</f>
        <v>668</v>
      </c>
      <c r="BJ4" s="77">
        <f>ROUND(REV!BI4/1000000,0)</f>
        <v>812</v>
      </c>
      <c r="BK4" s="77">
        <f>ROUND(REV!BJ4/1000000,0)</f>
        <v>675</v>
      </c>
      <c r="BL4" s="77">
        <f>ROUND(REV!BK4/1000000,0)</f>
        <v>2709</v>
      </c>
      <c r="BM4" s="77">
        <f>ROUND(REV!BL4/1000000,0)</f>
        <v>1424</v>
      </c>
      <c r="BN4" s="77">
        <f>ROUND(REV!BM4/1000000,0)</f>
        <v>1144</v>
      </c>
      <c r="BO4" s="77">
        <f>ROUND(REV!BN4/1000000,0)</f>
        <v>1514</v>
      </c>
      <c r="BP4" s="77">
        <f>ROUND(REV!BO4/1000000,0)</f>
        <v>955</v>
      </c>
      <c r="BQ4" s="77">
        <f>ROUND(REV!BP4/1000000,0)</f>
        <v>911</v>
      </c>
      <c r="BR4" s="77">
        <f>ROUND(REV!BQ4/1000000,0)</f>
        <v>826</v>
      </c>
      <c r="BS4" s="77">
        <f>ROUND(REV!BR4/1000000,0)</f>
        <v>659</v>
      </c>
      <c r="BT4" s="77">
        <f>ROUND(REV!BS4/1000000,0)</f>
        <v>772</v>
      </c>
      <c r="BU4" s="77">
        <f>ROUND(REV!BT4/1000000,0)</f>
        <v>979</v>
      </c>
      <c r="BV4" s="77">
        <f>ROUND(REV!BU4/1000000,0)</f>
        <v>1036</v>
      </c>
      <c r="BW4" s="77">
        <f>ROUND(REV!BV4/1000000,0)</f>
        <v>1167</v>
      </c>
      <c r="BX4" s="77">
        <f>ROUND(REV!BW4/1000000,0)</f>
        <v>773</v>
      </c>
      <c r="BY4" s="77">
        <f>ROUND(REV!BX4/1000000,0)</f>
        <v>513</v>
      </c>
      <c r="BZ4" s="77">
        <f>ROUND(REV!BY4/1000000,0)</f>
        <v>699</v>
      </c>
      <c r="CA4" s="77">
        <f>ROUND(REV!BZ4/1000000,0)</f>
        <v>742</v>
      </c>
      <c r="CB4" s="77">
        <f>ROUND(REV!CA4/1000000,0)</f>
        <v>1224</v>
      </c>
      <c r="CC4" s="77">
        <f>ROUND(REV!CB4/1000000,0)</f>
        <v>906</v>
      </c>
      <c r="CD4" s="77">
        <f>ROUND(REV!CC4/1000000,0)</f>
        <v>683</v>
      </c>
      <c r="CE4" s="77">
        <f>ROUND(REV!CD4/1000000,0)</f>
        <v>604</v>
      </c>
      <c r="CF4" s="77">
        <f>ROUND(REV!CE4/1000000,0)</f>
        <v>825</v>
      </c>
      <c r="CG4" s="77">
        <f>ROUND(REV!CF4/1000000,0)</f>
        <v>1204</v>
      </c>
      <c r="CH4" s="77">
        <f>ROUND(REV!CG4/1000000,0)</f>
        <v>1095</v>
      </c>
      <c r="CI4" s="77">
        <f>ROUND(REV!CH4/1000000,0)</f>
        <v>785</v>
      </c>
      <c r="CJ4" s="77">
        <f>ROUND(REV!CI4/1000000,0)</f>
        <v>931</v>
      </c>
      <c r="CK4" s="77">
        <f>ROUND(REV!CJ4/1000000,0)</f>
        <v>779</v>
      </c>
      <c r="CL4" s="77">
        <f>ROUND(REV!CK4/1000000,0)</f>
        <v>761</v>
      </c>
      <c r="CM4" s="77">
        <f>ROUND(REV!CL4/1000000,0)</f>
        <v>747</v>
      </c>
      <c r="CN4" s="77">
        <f>ROUND(REV!CM4/1000000,0)</f>
        <v>1094</v>
      </c>
      <c r="CO4" s="77">
        <f>ROUND(REV!CN4/1000000,0)</f>
        <v>973</v>
      </c>
      <c r="CP4" s="77">
        <f>ROUND(REV!CO4/1000000,0)</f>
        <v>2796</v>
      </c>
      <c r="CQ4" s="77">
        <f>ROUND(REV!CP4/1000000,0)</f>
        <v>1503</v>
      </c>
      <c r="CR4" s="77">
        <f>ROUND(REV!CQ4/1000000,0)</f>
        <v>1317</v>
      </c>
      <c r="CS4" s="77">
        <f>ROUND(REV!CR4/1000000,0)</f>
        <v>1073</v>
      </c>
      <c r="CT4" s="77">
        <f>ROUND(REV!CS4/1000000,0)</f>
        <v>779</v>
      </c>
      <c r="CU4" s="77">
        <f>ROUND(REV!CT4/1000000,0)</f>
        <v>738</v>
      </c>
      <c r="CV4" s="77">
        <f>ROUND(REV!CU4/1000000,0)</f>
        <v>1096</v>
      </c>
      <c r="CW4" s="77">
        <f>ROUND(REV!CV4/1000000,0)</f>
        <v>1013</v>
      </c>
      <c r="CX4" s="77">
        <f>ROUND(REV!CW4/1000000,0)</f>
        <v>1117</v>
      </c>
      <c r="CY4" s="77">
        <f>ROUND(REV!CX4/1000000,0)</f>
        <v>800</v>
      </c>
      <c r="CZ4" s="77">
        <f>ROUND(REV!CY4/1000000,0)</f>
        <v>779</v>
      </c>
      <c r="DA4" s="77">
        <f>ROUND(REV!CZ4/1000000,0)</f>
        <v>717</v>
      </c>
      <c r="DB4" s="77">
        <f>ROUND(REV!DA4/1000000,0)</f>
        <v>712</v>
      </c>
      <c r="DC4" s="77">
        <f>ROUND(REV!DB4/1000000,0)</f>
        <v>748</v>
      </c>
      <c r="DD4" s="77">
        <f>ROUND(REV!DC4/1000000,0)</f>
        <v>673</v>
      </c>
      <c r="DE4" s="77">
        <f>ROUND(REV!DD4/1000000,0)</f>
        <v>760</v>
      </c>
      <c r="DF4" s="77">
        <f>ROUND(REV!DE4/1000000,0)</f>
        <v>713</v>
      </c>
      <c r="DG4" s="77">
        <f>ROUND(REV!DF4/1000000,0)</f>
        <v>460</v>
      </c>
      <c r="DH4" s="77">
        <f>ROUND(REV!DG4/1000000,0)</f>
        <v>564</v>
      </c>
      <c r="DI4" s="77">
        <f>ROUND(REV!DH4/1000000,0)</f>
        <v>1234</v>
      </c>
      <c r="DJ4" s="77">
        <f>ROUND(REV!DI4/1000000,0)</f>
        <v>895</v>
      </c>
      <c r="DK4" s="77">
        <f>ROUND(REV!DJ4/1000000,0)</f>
        <v>593</v>
      </c>
      <c r="DL4" s="77">
        <f>ROUND(REV!DK4/1000000,0)</f>
        <v>718</v>
      </c>
      <c r="DM4" s="77">
        <f>ROUND(REV!DL4/1000000,0)</f>
        <v>1000</v>
      </c>
      <c r="DN4" s="77">
        <f>ROUND(REV!DM4/1000000,0)</f>
        <v>791</v>
      </c>
      <c r="DO4" s="77">
        <f>ROUND(REV!DN4/1000000,0)</f>
        <v>783</v>
      </c>
      <c r="DP4" s="77">
        <f>ROUND(REV!DO4/1000000,0)</f>
        <v>870</v>
      </c>
      <c r="DQ4" s="77">
        <f>ROUND(REV!DP4/1000000,0)</f>
        <v>729</v>
      </c>
      <c r="DR4" s="77">
        <f>ROUND(REV!DQ4/1000000,0)</f>
        <v>557</v>
      </c>
      <c r="DS4" s="77">
        <f>ROUND(REV!DR4/1000000,0)</f>
        <v>643</v>
      </c>
      <c r="DT4" s="77">
        <f>ROUND(REV!DS4/1000000,0)</f>
        <v>2419</v>
      </c>
      <c r="DU4" s="77">
        <f>ROUND(REV!DT4/1000000,0)</f>
        <v>1202</v>
      </c>
      <c r="DV4" s="77">
        <f>ROUND(REV!DU4/1000000,0)</f>
        <v>987</v>
      </c>
      <c r="DW4" s="77">
        <f>ROUND(REV!DV4/1000000,0)</f>
        <v>1334</v>
      </c>
      <c r="DX4" s="77">
        <f>ROUND(REV!DW4/1000000,0)</f>
        <v>1257</v>
      </c>
      <c r="DY4" s="77">
        <f>ROUND(REV!DX4/1000000,0)</f>
        <v>1181</v>
      </c>
      <c r="DZ4" s="77">
        <f>ROUND(REV!DY4/1000000,0)</f>
        <v>812</v>
      </c>
      <c r="EA4" s="77">
        <f>ROUND(REV!DZ4/1000000,0)</f>
        <v>978</v>
      </c>
      <c r="EB4" s="77">
        <f>ROUND(REV!EA4/1000000,0)</f>
        <v>736</v>
      </c>
      <c r="EC4" s="77">
        <f>ROUND(REV!EB4/1000000,0)</f>
        <v>762</v>
      </c>
      <c r="ED4" s="77">
        <f>ROUND(REV!EC4/1000000,0)</f>
        <v>1092</v>
      </c>
      <c r="EE4" s="77">
        <f>ROUND(REV!ED4/1000000,0)</f>
        <v>1460</v>
      </c>
      <c r="EF4" s="77">
        <f>ROUND(REV!EE4/1000000,0)</f>
        <v>949</v>
      </c>
      <c r="EG4" s="77">
        <f>ROUND(REV!EF4/1000000,0)</f>
        <v>637</v>
      </c>
      <c r="EH4" s="77">
        <f>ROUND(REV!EG4/1000000,0)</f>
        <v>793</v>
      </c>
      <c r="EI4" s="77">
        <f>ROUND(REV!EH4/1000000,0)</f>
        <v>584</v>
      </c>
      <c r="EJ4" s="77">
        <f>ROUND(REV!EI4/1000000,0)</f>
        <v>421</v>
      </c>
      <c r="EK4" s="77">
        <f>ROUND(REV!EJ4/1000000,0)</f>
        <v>825</v>
      </c>
      <c r="EL4" s="77">
        <f>ROUND(REV!EK4/1000000,0)</f>
        <v>761</v>
      </c>
      <c r="EM4" s="77">
        <f>ROUND(REV!EL4/1000000,0)</f>
        <v>649</v>
      </c>
      <c r="EN4" s="77">
        <f>ROUND(REV!EM4/1000000,0)</f>
        <v>955</v>
      </c>
      <c r="EO4" s="77">
        <f>ROUND(REV!EN4/1000000,0)</f>
        <v>1094</v>
      </c>
      <c r="EP4" s="77">
        <f>ROUND(REV!EO4/1000000,0)</f>
        <v>707</v>
      </c>
      <c r="EQ4" s="77">
        <f>ROUND(REV!EP4/1000000,0)</f>
        <v>567</v>
      </c>
      <c r="ER4" s="77">
        <f>ROUND(REV!EQ4/1000000,0)</f>
        <v>771</v>
      </c>
      <c r="ES4" s="77">
        <f>ROUND(REV!ER4/1000000,0)</f>
        <v>715</v>
      </c>
      <c r="ET4" s="77">
        <f>ROUND(REV!ES4/1000000,0)</f>
        <v>524</v>
      </c>
      <c r="EU4" s="77">
        <f>ROUND(REV!ET4/1000000,0)</f>
        <v>821</v>
      </c>
      <c r="EV4" s="77">
        <f>ROUND(REV!EU4/1000000,0)</f>
        <v>838</v>
      </c>
      <c r="EW4" s="77">
        <f>ROUND(REV!EV4/1000000,0)</f>
        <v>696</v>
      </c>
      <c r="EX4" s="77">
        <f>ROUND(REV!EW4/1000000,0)</f>
        <v>704</v>
      </c>
      <c r="EY4" s="77">
        <f>ROUND(REV!EX4/1000000,0)</f>
        <v>1852</v>
      </c>
      <c r="EZ4" s="77">
        <f>ROUND(REV!EY4/1000000,0)</f>
        <v>1020</v>
      </c>
      <c r="FA4" s="77">
        <f>ROUND(REV!EZ4/1000000,0)</f>
        <v>827</v>
      </c>
      <c r="FB4" s="77">
        <f>ROUND(REV!FA4/1000000,0)</f>
        <v>966</v>
      </c>
      <c r="FC4" s="77">
        <f>ROUND(REV!FB4/1000000,0)</f>
        <v>978</v>
      </c>
      <c r="FD4" s="77">
        <f>ROUND(REV!FC4/1000000,0)</f>
        <v>958</v>
      </c>
      <c r="FE4" s="77">
        <f>ROUND(REV!FD4/1000000,0)</f>
        <v>1080</v>
      </c>
      <c r="FF4" s="77">
        <f>ROUND(REV!FE4/1000000,0)</f>
        <v>972</v>
      </c>
      <c r="FG4" s="77">
        <f>ROUND(REV!FF4/1000000,0)</f>
        <v>871</v>
      </c>
      <c r="FH4" s="77">
        <f>ROUND(REV!FG4/1000000,0)</f>
        <v>1109</v>
      </c>
      <c r="FI4" s="77">
        <f>ROUND(REV!FH4/1000000,0)</f>
        <v>853</v>
      </c>
      <c r="FJ4" s="77">
        <f>ROUND(REV!FI4/1000000,0)</f>
        <v>1066</v>
      </c>
      <c r="FK4" s="77">
        <f>ROUND(REV!FJ4/1000000,0)</f>
        <v>749</v>
      </c>
      <c r="FL4" s="90">
        <f>ROUND(REV!FK4/1000000,0)</f>
        <v>622</v>
      </c>
      <c r="FM4" s="89">
        <f>ROUND(REV!FL4/1000000,0)</f>
        <v>589</v>
      </c>
      <c r="FN4" s="89">
        <f>ROUND(REV!FM4/1000000,0)</f>
        <v>787</v>
      </c>
      <c r="FO4" s="89">
        <f>ROUND(REV!FN4/1000000,0)</f>
        <v>416</v>
      </c>
      <c r="FP4" s="89">
        <f>ROUND(REV!FO4/1000000,0)</f>
        <v>1153</v>
      </c>
      <c r="FQ4" s="89">
        <f>ROUND(REV!FP4/1000000,0)</f>
        <v>884</v>
      </c>
      <c r="FR4" s="91">
        <f>ROUND(REV!FQ4/1000000,0)</f>
        <v>707</v>
      </c>
      <c r="FS4" s="77">
        <f>ROUND(REV!FR4/1000000,0)</f>
        <v>557</v>
      </c>
      <c r="FT4" s="77">
        <f>ROUND(REV!FS4/1000000,0)</f>
        <v>777</v>
      </c>
      <c r="FU4" s="77">
        <f>ROUND(REV!FT4/1000000,0)</f>
        <v>505</v>
      </c>
      <c r="FV4" s="77">
        <f>ROUND(REV!FU4/1000000,0)</f>
        <v>528</v>
      </c>
      <c r="FW4" s="77">
        <f>ROUND(REV!FV4/1000000,0)</f>
        <v>857</v>
      </c>
      <c r="FX4" s="77">
        <f>ROUND(REV!FW4/1000000,0)</f>
        <v>861</v>
      </c>
      <c r="FY4" s="77">
        <f>ROUND(REV!FX4/1000000,0)</f>
        <v>617</v>
      </c>
      <c r="FZ4" s="77">
        <f>ROUND(REV!FY4/1000000,0)</f>
        <v>655</v>
      </c>
      <c r="GA4" s="77">
        <f>ROUND(REV!FZ4/1000000,0)</f>
        <v>648</v>
      </c>
      <c r="GB4" s="77">
        <f>ROUND(REV!GA4/1000000,0)</f>
        <v>1799</v>
      </c>
      <c r="GC4" s="77">
        <f>ROUND(REV!GB4/1000000,0)</f>
        <v>1285</v>
      </c>
      <c r="GD4" s="77">
        <f>ROUND(REV!GC4/1000000,0)</f>
        <v>1434</v>
      </c>
      <c r="GE4" s="77">
        <f>ROUND(REV!GD4/1000000,0)</f>
        <v>1168</v>
      </c>
      <c r="GF4" s="77">
        <f>ROUND(REV!GE4/1000000,0)</f>
        <v>805</v>
      </c>
      <c r="GG4" s="77">
        <f>ROUND(REV!GF4/1000000,0)</f>
        <v>572</v>
      </c>
      <c r="GH4" s="77">
        <f>ROUND(REV!GG4/1000000,0)</f>
        <v>783</v>
      </c>
      <c r="GI4" s="77">
        <f>ROUND(REV!GH4/1000000,0)</f>
        <v>820</v>
      </c>
      <c r="GJ4" s="77">
        <f>ROUND(REV!GI4/1000000,0)</f>
        <v>1103</v>
      </c>
      <c r="GK4" s="77">
        <f>ROUND(REV!GJ4/1000000,0)</f>
        <v>1036</v>
      </c>
      <c r="GL4" s="77">
        <f>ROUND(REV!GK4/1000000,0)</f>
        <v>988</v>
      </c>
      <c r="GM4" s="77">
        <f>ROUND(REV!GL4/1000000,0)</f>
        <v>873</v>
      </c>
      <c r="GN4" s="77">
        <f>ROUND(REV!GM4/1000000,0)</f>
        <v>487</v>
      </c>
      <c r="GO4" s="77">
        <f>ROUND(REV!GN4/1000000,0)</f>
        <v>539</v>
      </c>
      <c r="GP4" s="77">
        <f>ROUND(REV!GO4/1000000,0)</f>
        <v>521</v>
      </c>
      <c r="GQ4" s="77">
        <f>ROUND(REV!GP4/1000000,0)</f>
        <v>500</v>
      </c>
      <c r="GR4" s="77">
        <f>ROUND(REV!GQ4/1000000,0)</f>
        <v>792</v>
      </c>
      <c r="GS4" s="77">
        <f>ROUND(REV!GR4/1000000,0)</f>
        <v>841</v>
      </c>
      <c r="GT4" s="77">
        <f>ROUND(REV!GS4/1000000,0)</f>
        <v>1009</v>
      </c>
      <c r="GU4" s="77">
        <f>ROUND(REV!GT4/1000000,0)</f>
        <v>631</v>
      </c>
      <c r="GV4" s="77">
        <f>ROUND(REV!GU4/1000000,0)</f>
        <v>636</v>
      </c>
      <c r="GW4" s="77">
        <f>ROUND(REV!GV4/1000000,0)</f>
        <v>855</v>
      </c>
      <c r="GX4" s="77">
        <f>ROUND(REV!GW4/1000000,0)</f>
        <v>697</v>
      </c>
      <c r="GY4" s="77">
        <f>ROUND(REV!GX4/1000000,0)</f>
        <v>647</v>
      </c>
      <c r="GZ4" s="77">
        <f>ROUND(REV!GY4/1000000,0)</f>
        <v>807</v>
      </c>
      <c r="HA4" s="77">
        <f>ROUND(REV!GZ4/1000000,0)</f>
        <v>720</v>
      </c>
      <c r="HB4" s="77">
        <f>ROUND(REV!HA4/1000000,0)</f>
        <v>863</v>
      </c>
      <c r="HC4" s="77">
        <f>ROUND(REV!HB4/1000000,0)</f>
        <v>1003</v>
      </c>
      <c r="HD4" s="77">
        <f>ROUND(REV!HC4/1000000,0)</f>
        <v>671</v>
      </c>
      <c r="HE4" s="77">
        <f>ROUND(REV!HD4/1000000,0)</f>
        <v>502</v>
      </c>
      <c r="HF4" s="77">
        <f>ROUND(REV!HE4/1000000,0)</f>
        <v>756</v>
      </c>
      <c r="HG4" s="77">
        <f>ROUND(REV!HF4/1000000,0)</f>
        <v>2194</v>
      </c>
      <c r="HH4" s="77">
        <f>ROUND(REV!HG4/1000000,0)</f>
        <v>1078</v>
      </c>
      <c r="HI4" s="77">
        <f>ROUND(REV!HH4/1000000,0)</f>
        <v>771</v>
      </c>
      <c r="HJ4" s="77">
        <f>ROUND(REV!HI4/1000000,0)</f>
        <v>1251</v>
      </c>
      <c r="HK4" s="77">
        <f>ROUND(REV!HJ4/1000000,0)</f>
        <v>860</v>
      </c>
      <c r="HL4" s="77">
        <f>ROUND(REV!HK4/1000000,0)</f>
        <v>988</v>
      </c>
      <c r="HM4" s="77">
        <f>ROUND(REV!HL4/1000000,0)</f>
        <v>753</v>
      </c>
      <c r="HN4" s="77">
        <f>ROUND(REV!HM4/1000000,0)</f>
        <v>1412</v>
      </c>
      <c r="HO4" s="77">
        <f>ROUND(REV!HN4/1000000,0)</f>
        <v>989</v>
      </c>
      <c r="HP4" s="77">
        <f>ROUND(REV!HO4/1000000,0)</f>
        <v>704</v>
      </c>
      <c r="HQ4" s="77">
        <f>ROUND(REV!HP4/1000000,0)</f>
        <v>812</v>
      </c>
      <c r="HR4" s="77">
        <f>ROUND(REV!HQ4/1000000,0)</f>
        <v>600</v>
      </c>
      <c r="HS4" s="77">
        <f>ROUND(REV!HR4/1000000,0)</f>
        <v>774</v>
      </c>
      <c r="HT4" s="77">
        <f>ROUND(REV!HS4/1000000,0)</f>
        <v>889</v>
      </c>
      <c r="HU4" s="77">
        <f>ROUND(REV!HT4/1000000,0)</f>
        <v>810</v>
      </c>
      <c r="HV4" s="77">
        <f>ROUND(REV!HU4/1000000,0)</f>
        <v>737</v>
      </c>
      <c r="HW4" s="77">
        <f>ROUND(REV!HV4/1000000,0)</f>
        <v>581</v>
      </c>
      <c r="HX4" s="77">
        <f>ROUND(REV!HW4/1000000,0)</f>
        <v>578</v>
      </c>
      <c r="HY4" s="77">
        <f>ROUND(REV!HX4/1000000,0)</f>
        <v>549</v>
      </c>
      <c r="HZ4" s="77">
        <f>ROUND(REV!HY4/1000000,0)</f>
        <v>774</v>
      </c>
      <c r="IA4" s="77">
        <f>ROUND(REV!HZ4/1000000,0)</f>
        <v>663</v>
      </c>
      <c r="IB4" s="77">
        <f>ROUND(REV!IA4/1000000,0)</f>
        <v>790</v>
      </c>
      <c r="IC4" s="77">
        <f>ROUND(REV!IB4/1000000,0)</f>
        <v>690</v>
      </c>
      <c r="ID4" s="77">
        <f>ROUND(REV!IC4/1000000,0)</f>
        <v>534</v>
      </c>
      <c r="IE4" s="77">
        <f>ROUND(REV!ID4/1000000,0)</f>
        <v>709</v>
      </c>
      <c r="IF4" s="77">
        <f>ROUND(REV!IE4/1000000,0)</f>
        <v>569</v>
      </c>
      <c r="IG4" s="77">
        <f>ROUND(REV!IF4/1000000,0)</f>
        <v>689</v>
      </c>
      <c r="IH4" s="77">
        <f>ROUND(REV!IG4/1000000,0)</f>
        <v>726</v>
      </c>
      <c r="II4" s="77">
        <f>ROUND(REV!IH4/1000000,0)</f>
        <v>566</v>
      </c>
      <c r="IJ4" s="77">
        <f>ROUND(REV!II4/1000000,0)</f>
        <v>738</v>
      </c>
      <c r="IK4" s="77">
        <f>ROUND(REV!IJ4/1000000,0)</f>
        <v>620</v>
      </c>
      <c r="IL4" s="77">
        <f>ROUND(REV!IK4/1000000,0)</f>
        <v>2053</v>
      </c>
      <c r="IM4" s="77">
        <f>ROUND(REV!IL4/1000000,0)</f>
        <v>1128</v>
      </c>
      <c r="IN4" s="77">
        <f>ROUND(REV!IM4/1000000,0)</f>
        <v>1458</v>
      </c>
      <c r="IO4" s="77">
        <f>ROUND(REV!IN4/1000000,0)</f>
        <v>1368</v>
      </c>
      <c r="IP4" s="77">
        <f>ROUND(REV!IO4/1000000,0)</f>
        <v>969</v>
      </c>
      <c r="IQ4" s="77">
        <f>ROUND(REV!IP4/1000000,0)</f>
        <v>1015</v>
      </c>
      <c r="IR4" s="77">
        <f>ROUND(REV!IQ4/1000000,0)</f>
        <v>1101</v>
      </c>
      <c r="IS4" s="77">
        <f>ROUND(REV!IR4/1000000,0)</f>
        <v>915</v>
      </c>
      <c r="IT4" s="77">
        <f>ROUND(REV!IS4/1000000,0)</f>
        <v>966</v>
      </c>
      <c r="IU4" s="77">
        <f>ROUND(REV!IT4/1000000,0)</f>
        <v>658</v>
      </c>
      <c r="IV4" s="77">
        <f>ROUND(REV!IU4/1000000,0)</f>
        <v>1028</v>
      </c>
      <c r="IW4" s="77">
        <f>ROUND(REV!IV4/1000000,0)</f>
        <v>1000</v>
      </c>
      <c r="IX4" s="77">
        <f>ROUND(REV!IW4/1000000,0)</f>
        <v>837</v>
      </c>
      <c r="IY4" s="77">
        <f>ROUND(REV!IX4/1000000,0)</f>
        <v>796</v>
      </c>
      <c r="IZ4" s="77">
        <f>ROUND(REV!IY4/1000000,0)</f>
        <v>460</v>
      </c>
      <c r="JA4" s="77">
        <f>ROUND(REV!IZ4/1000000,0)</f>
        <v>388</v>
      </c>
      <c r="JB4" s="77">
        <f>ROUND(REV!JA4/1000000,0)</f>
        <v>1107</v>
      </c>
      <c r="JC4" s="77">
        <f>ROUND(REV!JB4/1000000,0)</f>
        <v>714</v>
      </c>
      <c r="JD4" s="77">
        <f>ROUND(REV!JC4/1000000,0)</f>
        <v>814</v>
      </c>
      <c r="JE4" s="77">
        <f>ROUND(REV!JD4/1000000,0)</f>
        <v>543</v>
      </c>
      <c r="JF4" s="77">
        <f>ROUND(REV!JE4/1000000,0)</f>
        <v>521</v>
      </c>
      <c r="JG4" s="77">
        <f>ROUND(REV!JF4/1000000,0)</f>
        <v>902</v>
      </c>
      <c r="JH4" s="77">
        <f>ROUND(REV!JG4/1000000,0)</f>
        <v>906</v>
      </c>
      <c r="JI4" s="77">
        <f>ROUND(REV!JH4/1000000,0)</f>
        <v>668</v>
      </c>
      <c r="JJ4" s="77">
        <f>ROUND(REV!JI4/1000000,0)</f>
        <v>961</v>
      </c>
      <c r="JK4" s="77">
        <f>ROUND(REV!JJ4/1000000,0)</f>
        <v>1100</v>
      </c>
      <c r="JL4" s="77">
        <f>ROUND(REV!JK4/1000000,0)</f>
        <v>954</v>
      </c>
      <c r="JM4" s="77">
        <f>ROUND(REV!JL4/1000000,0)</f>
        <v>712</v>
      </c>
      <c r="JN4" s="77">
        <f>ROUND(REV!JM4/1000000,0)</f>
        <v>718</v>
      </c>
      <c r="JO4" s="77">
        <f>ROUND(REV!JN4/1000000,0)</f>
        <v>754</v>
      </c>
      <c r="JP4" s="77">
        <f>ROUND(REV!JO4/1000000,0)</f>
        <v>2038</v>
      </c>
      <c r="JQ4" s="77">
        <f>ROUND(REV!JP4/1000000,0)</f>
        <v>1062</v>
      </c>
      <c r="JR4" s="77">
        <f>ROUND(REV!JQ4/1000000,0)</f>
        <v>1039</v>
      </c>
      <c r="JS4" s="77">
        <f>ROUND(REV!JR4/1000000,0)</f>
        <v>817</v>
      </c>
      <c r="JT4" s="77">
        <f>ROUND(REV!JS4/1000000,0)</f>
        <v>890</v>
      </c>
      <c r="JU4" s="77">
        <f>ROUND(REV!JT4/1000000,0)</f>
        <v>1059</v>
      </c>
      <c r="JV4" s="77">
        <f>ROUND(REV!JU4/1000000,0)</f>
        <v>874</v>
      </c>
      <c r="JW4" s="77">
        <f>ROUND(REV!JV4/1000000,0)</f>
        <v>804</v>
      </c>
      <c r="JX4" s="77">
        <f>ROUND(REV!JW4/1000000,0)</f>
        <v>662</v>
      </c>
      <c r="JY4" s="77">
        <f>ROUND(REV!JX4/1000000,0)</f>
        <v>878</v>
      </c>
      <c r="JZ4" s="77">
        <f>ROUND(REV!JY4/1000000,0)</f>
        <v>932</v>
      </c>
      <c r="KA4" s="77">
        <f>ROUND(REV!JZ4/1000000,0)</f>
        <v>690</v>
      </c>
      <c r="KB4" s="77">
        <f>ROUND(REV!KA4/1000000,0)</f>
        <v>454</v>
      </c>
      <c r="KC4" s="77">
        <f>ROUND(REV!KB4/1000000,0)</f>
        <v>549</v>
      </c>
      <c r="KD4" s="77">
        <f>ROUND(REV!KC4/1000000,0)</f>
        <v>437</v>
      </c>
      <c r="KE4" s="77">
        <f>ROUND(REV!KD4/1000000,0)</f>
        <v>1083</v>
      </c>
      <c r="KF4" s="77">
        <f>ROUND(REV!KE4/1000000,0)</f>
        <v>549</v>
      </c>
      <c r="KG4" s="77">
        <f>ROUND(REV!KF4/1000000,0)</f>
        <v>409</v>
      </c>
      <c r="KH4" s="77">
        <f>ROUND(REV!KG4/1000000,0)</f>
        <v>478</v>
      </c>
      <c r="KI4" s="77">
        <f>ROUND(REV!KH4/1000000,0)</f>
        <v>440</v>
      </c>
      <c r="KJ4" s="77">
        <f>ROUND(REV!KI4/1000000,0)</f>
        <v>493</v>
      </c>
      <c r="KK4" s="77">
        <f>ROUND(REV!KJ4/1000000,0)</f>
        <v>880</v>
      </c>
      <c r="KL4" s="77">
        <f>ROUND(REV!KK4/1000000,0)</f>
        <v>941</v>
      </c>
      <c r="KM4" s="77">
        <f>ROUND(REV!KL4/1000000,0)</f>
        <v>847</v>
      </c>
      <c r="KN4" s="77">
        <f>ROUND(REV!KM4/1000000,0)</f>
        <v>728</v>
      </c>
      <c r="KO4" s="77">
        <f>ROUND(REV!KN4/1000000,0)</f>
        <v>601</v>
      </c>
      <c r="KP4" s="77">
        <f>ROUND(REV!KO4/1000000,0)</f>
        <v>652</v>
      </c>
      <c r="KQ4" s="77">
        <f>ROUND(REV!KP4/1000000,0)</f>
        <v>805</v>
      </c>
      <c r="KR4" s="77">
        <f>ROUND(REV!KQ4/1000000,0)</f>
        <v>940</v>
      </c>
      <c r="KS4" s="77">
        <f>ROUND(REV!KR4/1000000,0)</f>
        <v>824</v>
      </c>
      <c r="KT4" s="77">
        <f>ROUND(REV!KS4/1000000,0)</f>
        <v>828</v>
      </c>
      <c r="KU4" s="77">
        <f>ROUND(REV!KT4/1000000,0)</f>
        <v>667</v>
      </c>
      <c r="KV4" s="77">
        <f>ROUND(REV!KU4/1000000,0)</f>
        <v>455</v>
      </c>
      <c r="KW4" s="77">
        <f>ROUND(REV!KV4/1000000,0)</f>
        <v>996</v>
      </c>
      <c r="KX4" s="77">
        <f>ROUND(REV!KW4/1000000,0)</f>
        <v>763</v>
      </c>
      <c r="KY4" s="77">
        <f>ROUND(REV!KX4/1000000,0)</f>
        <v>2570</v>
      </c>
      <c r="KZ4" s="77">
        <f>ROUND(REV!KY4/1000000,0)</f>
        <v>1852</v>
      </c>
      <c r="LA4" s="77">
        <f>ROUND(REV!KZ4/1000000,0)</f>
        <v>1471</v>
      </c>
      <c r="LB4" s="77">
        <f>ROUND(REV!LA4/1000000,0)</f>
        <v>1338</v>
      </c>
      <c r="LC4" s="77">
        <f>ROUND(REV!LB4/1000000,0)</f>
        <v>828</v>
      </c>
      <c r="LD4" s="77">
        <f>ROUND(REV!LC4/1000000,0)</f>
        <v>942</v>
      </c>
      <c r="LE4" s="77">
        <f>ROUND(REV!LD4/1000000,0)</f>
        <v>700</v>
      </c>
      <c r="LF4" s="77">
        <f>ROUND(REV!LE4/1000000,0)</f>
        <v>978</v>
      </c>
      <c r="LG4" s="77">
        <f>ROUND(REV!LF4/1000000,0)</f>
        <v>820</v>
      </c>
      <c r="LH4" s="77">
        <f>ROUND(REV!LG4/1000000,0)</f>
        <v>910</v>
      </c>
      <c r="LI4" s="77">
        <f>ROUND(REV!LH4/1000000,0)</f>
        <v>446</v>
      </c>
      <c r="LJ4" s="77">
        <f>ROUND(REV!LI4/1000000,0)</f>
        <v>298</v>
      </c>
      <c r="LK4" s="77">
        <f>ROUND(REV!LJ4/1000000,0)</f>
        <v>410</v>
      </c>
      <c r="LL4" s="77">
        <f>ROUND(REV!LK4/1000000,0)</f>
        <v>425</v>
      </c>
      <c r="LM4" s="77">
        <f>ROUND(REV!LL4/1000000,0)</f>
        <v>559</v>
      </c>
      <c r="LN4" s="77">
        <f>ROUND(REV!LM4/1000000,0)</f>
        <v>365</v>
      </c>
      <c r="LO4" s="77">
        <f>ROUND(REV!LN4/1000000,0)</f>
        <v>409</v>
      </c>
      <c r="LP4" s="77">
        <f>ROUND(REV!LO4/1000000,0)</f>
        <v>377</v>
      </c>
      <c r="LQ4" s="77">
        <f>ROUND(REV!LP4/1000000,0)</f>
        <v>357</v>
      </c>
      <c r="LR4" s="77">
        <f>ROUND(REV!LQ4/1000000,0)</f>
        <v>694</v>
      </c>
      <c r="LS4" s="77">
        <f>ROUND(REV!LR4/1000000,0)</f>
        <v>810</v>
      </c>
      <c r="LT4" s="77">
        <f>ROUND(REV!LS4/1000000,0)</f>
        <v>534</v>
      </c>
      <c r="LU4" s="77">
        <f>ROUND(REV!LT4/1000000,0)</f>
        <v>603</v>
      </c>
      <c r="LV4" s="77">
        <f>ROUND(REV!LU4/1000000,0)</f>
        <v>601</v>
      </c>
      <c r="LW4" s="77">
        <f>ROUND(REV!LV4/1000000,0)</f>
        <v>740</v>
      </c>
      <c r="LX4" s="77">
        <f>ROUND(REV!LW4/1000000,0)</f>
        <v>547</v>
      </c>
      <c r="LY4" s="77">
        <f>ROUND(REV!LX4/1000000,0)</f>
        <v>552</v>
      </c>
      <c r="LZ4" s="77">
        <f>ROUND(REV!LY4/1000000,0)</f>
        <v>408</v>
      </c>
      <c r="MA4" s="77">
        <f>ROUND(REV!LZ4/1000000,0)</f>
        <v>2208</v>
      </c>
      <c r="MB4" s="77">
        <f>ROUND(REV!MA4/1000000,0)</f>
        <v>1003</v>
      </c>
      <c r="MC4" s="77">
        <f>ROUND(REV!MB4/1000000,0)</f>
        <v>1224</v>
      </c>
      <c r="MD4" s="77">
        <f>ROUND(REV!MC4/1000000,0)</f>
        <v>1010</v>
      </c>
      <c r="ME4" s="77">
        <f>ROUND(REV!MD4/1000000,0)</f>
        <v>683</v>
      </c>
      <c r="MF4" s="77">
        <f>ROUND(REV!ME4/1000000,0)</f>
        <v>1027</v>
      </c>
      <c r="MG4" s="77">
        <f>ROUND(REV!MF4/1000000,0)</f>
        <v>934</v>
      </c>
      <c r="MH4" s="77">
        <f>ROUND(REV!MG4/1000000,0)</f>
        <v>1319</v>
      </c>
      <c r="MI4" s="77">
        <f>ROUND(REV!MH4/1000000,0)</f>
        <v>1021</v>
      </c>
      <c r="MJ4" s="77">
        <f>ROUND(REV!MI4/1000000,0)</f>
        <v>738</v>
      </c>
      <c r="MK4" s="77">
        <f>ROUND(REV!MJ4/1000000,0)</f>
        <v>657</v>
      </c>
      <c r="ML4" s="77">
        <f>ROUND(REV!MK4/1000000,0)</f>
        <v>519</v>
      </c>
      <c r="MM4" s="77">
        <f>ROUND(REV!ML4/1000000,0)</f>
        <v>519</v>
      </c>
      <c r="MN4" s="77">
        <f>ROUND(REV!MM4/1000000,0)</f>
        <v>597</v>
      </c>
      <c r="MO4" s="77">
        <f>ROUND(REV!MN4/1000000,0)</f>
        <v>676</v>
      </c>
      <c r="MP4" s="77">
        <f>ROUND(REV!MO4/1000000,0)</f>
        <v>487</v>
      </c>
      <c r="MQ4" s="77">
        <f>ROUND(REV!MP4/1000000,0)</f>
        <v>457</v>
      </c>
      <c r="MR4" s="77">
        <f>ROUND(REV!MQ4/1000000,0)</f>
        <v>428</v>
      </c>
      <c r="MS4" s="77">
        <f>ROUND(REV!MR4/1000000,0)</f>
        <v>357</v>
      </c>
      <c r="MT4" s="77">
        <f>ROUND(REV!MS4/1000000,0)</f>
        <v>401</v>
      </c>
      <c r="MU4" s="77">
        <f>ROUND(REV!MT4/1000000,0)</f>
        <v>468</v>
      </c>
      <c r="MV4" s="77">
        <f>ROUND(REV!MU4/1000000,0)</f>
        <v>771</v>
      </c>
      <c r="MW4" s="77">
        <f>ROUND(REV!MV4/1000000,0)</f>
        <v>539</v>
      </c>
      <c r="MX4" s="77">
        <f>ROUND(REV!MW4/1000000,0)</f>
        <v>489</v>
      </c>
      <c r="MY4" s="77">
        <f>ROUND(REV!MX4/1000000,0)</f>
        <v>441</v>
      </c>
      <c r="MZ4" s="77">
        <f>ROUND(REV!MY4/1000000,0)</f>
        <v>593</v>
      </c>
      <c r="NA4" s="77">
        <f>ROUND(REV!MZ4/1000000,0)</f>
        <v>535</v>
      </c>
      <c r="NB4" s="77">
        <f>ROUND(REV!NA4/1000000,0)</f>
        <v>417</v>
      </c>
      <c r="NC4" s="77">
        <f>ROUND(REV!NB4/1000000,0)</f>
        <v>475</v>
      </c>
    </row>
    <row r="5" spans="1:378" ht="15" customHeight="1">
      <c r="A5" s="226" t="s">
        <v>12</v>
      </c>
      <c r="B5" s="37">
        <v>1</v>
      </c>
      <c r="C5" s="5"/>
      <c r="D5" s="5"/>
      <c r="E5" s="5"/>
      <c r="F5" s="5"/>
      <c r="G5" s="5"/>
      <c r="H5" s="124" t="s">
        <v>22</v>
      </c>
      <c r="I5" s="125"/>
      <c r="J5" s="12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308" t="s">
        <v>390</v>
      </c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10"/>
      <c r="AL5" s="5"/>
      <c r="AM5" s="124" t="s">
        <v>391</v>
      </c>
      <c r="AN5" s="125"/>
      <c r="AO5" s="126"/>
      <c r="AP5" s="5"/>
      <c r="AQ5" s="5"/>
      <c r="AR5" s="5"/>
      <c r="AU5" s="124" t="s">
        <v>392</v>
      </c>
      <c r="AV5" s="125"/>
      <c r="AW5" s="125"/>
      <c r="AX5" s="125"/>
      <c r="AY5" s="125"/>
      <c r="AZ5" s="125"/>
      <c r="BA5" s="125"/>
      <c r="BB5" s="125"/>
      <c r="BC5" s="125"/>
      <c r="BD5" s="125"/>
      <c r="BE5" s="126"/>
      <c r="BG5" s="243" t="s">
        <v>393</v>
      </c>
      <c r="BH5" s="241"/>
      <c r="BI5" s="241"/>
      <c r="BJ5" s="241"/>
      <c r="BK5" s="241"/>
      <c r="BL5" s="241"/>
      <c r="BM5" s="241"/>
      <c r="BN5" s="241"/>
      <c r="BO5" s="241"/>
      <c r="BP5" s="241"/>
      <c r="BQ5" s="244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267" t="s">
        <v>25</v>
      </c>
      <c r="CQ5" s="268"/>
      <c r="CR5" s="268"/>
      <c r="CS5" s="268"/>
      <c r="CT5" s="268"/>
      <c r="CU5" s="268"/>
      <c r="CV5" s="268"/>
      <c r="CW5" s="268"/>
      <c r="CX5" s="268"/>
      <c r="CY5" s="268"/>
      <c r="CZ5" s="268"/>
      <c r="DA5" s="268"/>
      <c r="DB5" s="269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122" t="s">
        <v>247</v>
      </c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65"/>
      <c r="EJ5" s="5"/>
      <c r="EK5" s="124" t="s">
        <v>394</v>
      </c>
      <c r="EL5" s="125"/>
      <c r="EM5" s="125"/>
      <c r="EN5" s="125"/>
      <c r="EO5" s="125"/>
      <c r="EP5" s="125"/>
      <c r="EQ5" s="125"/>
      <c r="ER5" s="125"/>
      <c r="ES5" s="125"/>
      <c r="ET5" s="125"/>
      <c r="EU5" s="125"/>
      <c r="EV5" s="125"/>
      <c r="EW5" s="126"/>
      <c r="EX5" s="5"/>
      <c r="EY5" s="267" t="s">
        <v>25</v>
      </c>
      <c r="EZ5" s="268"/>
      <c r="FA5" s="268"/>
      <c r="FB5" s="268"/>
      <c r="FC5" s="268"/>
      <c r="FD5" s="268"/>
      <c r="FE5" s="268"/>
      <c r="FF5" s="268"/>
      <c r="FG5" s="268"/>
      <c r="FH5" s="268"/>
      <c r="FI5" s="268"/>
      <c r="FJ5" s="268"/>
      <c r="FK5" s="269"/>
      <c r="FL5" s="5"/>
      <c r="FM5" s="13"/>
      <c r="FN5" s="13"/>
      <c r="FP5" s="124" t="s">
        <v>395</v>
      </c>
      <c r="FQ5" s="125"/>
      <c r="FR5" s="125"/>
      <c r="FS5" s="125"/>
      <c r="FT5" s="125"/>
      <c r="FU5" s="125"/>
      <c r="FV5" s="125"/>
      <c r="FW5" s="125"/>
      <c r="FX5" s="125"/>
      <c r="FY5" s="125"/>
      <c r="FZ5" s="125"/>
      <c r="GA5" s="125"/>
      <c r="GB5" s="126"/>
      <c r="GC5" s="5"/>
      <c r="GD5" s="5"/>
      <c r="GE5" s="5"/>
      <c r="GF5" s="5"/>
      <c r="GG5" s="5"/>
      <c r="GH5" s="5"/>
      <c r="GI5" s="5"/>
      <c r="GJ5" s="202" t="s">
        <v>396</v>
      </c>
      <c r="GK5" s="203"/>
      <c r="GL5" s="203"/>
      <c r="GM5" s="203"/>
      <c r="GN5" s="203"/>
      <c r="GO5" s="203"/>
      <c r="GP5" s="203"/>
      <c r="GQ5" s="203"/>
      <c r="GR5" s="203"/>
      <c r="GS5" s="203"/>
      <c r="GT5" s="203"/>
      <c r="GU5" s="203"/>
      <c r="GV5" s="203"/>
      <c r="GW5" s="203"/>
      <c r="GX5" s="204"/>
      <c r="GY5" s="5"/>
      <c r="GZ5" s="5"/>
      <c r="HA5" s="5"/>
      <c r="HB5" s="5"/>
      <c r="HC5" s="5"/>
      <c r="HD5" s="5"/>
      <c r="HE5" s="5"/>
      <c r="HF5" s="5"/>
      <c r="HG5" s="267" t="s">
        <v>25</v>
      </c>
      <c r="HH5" s="268"/>
      <c r="HI5" s="268"/>
      <c r="HJ5" s="268"/>
      <c r="HK5" s="268"/>
      <c r="HL5" s="268"/>
      <c r="HM5" s="268"/>
      <c r="HN5" s="268"/>
      <c r="HO5" s="268"/>
      <c r="HP5" s="268"/>
      <c r="HQ5" s="268"/>
      <c r="HR5" s="268"/>
      <c r="HS5" s="269"/>
      <c r="HT5" s="12"/>
      <c r="HU5" s="12"/>
      <c r="HV5" s="12"/>
      <c r="HW5" s="12"/>
      <c r="HX5" s="12"/>
      <c r="HY5" s="12"/>
      <c r="HZ5" s="124" t="s">
        <v>397</v>
      </c>
      <c r="IA5" s="125"/>
      <c r="IB5" s="125"/>
      <c r="IC5" s="125"/>
      <c r="ID5" s="125"/>
      <c r="IE5" s="125"/>
      <c r="IF5" s="125"/>
      <c r="IG5" s="125"/>
      <c r="IH5" s="125"/>
      <c r="II5" s="125"/>
      <c r="IJ5" s="126"/>
      <c r="IL5" s="5"/>
      <c r="IM5" s="5"/>
      <c r="IN5" s="190" t="s">
        <v>220</v>
      </c>
      <c r="IO5" s="191"/>
      <c r="IP5" s="191"/>
      <c r="IQ5" s="191"/>
      <c r="IR5" s="191"/>
      <c r="IS5" s="191"/>
      <c r="IT5" s="191"/>
      <c r="IU5" s="192"/>
      <c r="IV5" s="12"/>
      <c r="IW5" s="12"/>
      <c r="IX5" s="5"/>
      <c r="IY5" s="5"/>
      <c r="IZ5" s="5"/>
      <c r="JA5" s="5"/>
      <c r="JB5" s="12"/>
      <c r="JC5" s="12"/>
      <c r="JD5" s="12"/>
      <c r="JE5" s="12"/>
      <c r="JF5" s="5"/>
      <c r="JG5" s="5"/>
      <c r="JH5" s="5"/>
      <c r="JI5" s="5"/>
      <c r="JJ5" s="5"/>
      <c r="JK5" s="243" t="s">
        <v>398</v>
      </c>
      <c r="JL5" s="241"/>
      <c r="JM5" s="241"/>
      <c r="JN5" s="241"/>
      <c r="JO5" s="241"/>
      <c r="JP5" s="241"/>
      <c r="JQ5" s="241"/>
      <c r="JR5" s="241"/>
      <c r="JS5" s="241"/>
      <c r="JT5" s="241"/>
      <c r="JU5" s="244"/>
      <c r="JV5" s="5"/>
      <c r="JW5" s="5"/>
      <c r="JX5" s="5"/>
      <c r="JY5" s="5"/>
      <c r="JZ5" s="5"/>
      <c r="KA5" s="5"/>
      <c r="KB5" s="5"/>
      <c r="KC5" s="5"/>
      <c r="KD5" s="5"/>
      <c r="KE5" s="280" t="s">
        <v>399</v>
      </c>
      <c r="KF5" s="281"/>
      <c r="KG5" s="281"/>
      <c r="KH5" s="281"/>
      <c r="KI5" s="281"/>
      <c r="KJ5" s="282"/>
      <c r="KK5" s="124" t="s">
        <v>400</v>
      </c>
      <c r="KL5" s="125"/>
      <c r="KM5" s="125"/>
      <c r="KN5" s="125"/>
      <c r="KO5" s="125"/>
      <c r="KP5" s="125"/>
      <c r="KQ5" s="125"/>
      <c r="KR5" s="125"/>
      <c r="KS5" s="125"/>
      <c r="KT5" s="125"/>
      <c r="KU5" s="125"/>
      <c r="KV5" s="125"/>
      <c r="KW5" s="126"/>
      <c r="KX5" s="5"/>
      <c r="KY5" s="280" t="s">
        <v>401</v>
      </c>
      <c r="KZ5" s="281"/>
      <c r="LA5" s="281"/>
      <c r="LB5" s="281"/>
      <c r="LC5" s="281"/>
      <c r="LD5" s="281"/>
      <c r="LE5" s="281"/>
      <c r="LF5" s="281"/>
      <c r="LG5" s="281"/>
      <c r="LH5" s="282"/>
      <c r="LI5" s="5"/>
      <c r="LJ5" s="5"/>
      <c r="LK5" s="286" t="s">
        <v>402</v>
      </c>
      <c r="LL5" s="287"/>
      <c r="LM5" s="288"/>
      <c r="LN5" s="5"/>
      <c r="LO5" s="5"/>
      <c r="LP5" s="5"/>
      <c r="LQ5" s="5"/>
      <c r="LR5" s="5"/>
      <c r="LS5" s="5"/>
      <c r="LT5" s="5"/>
      <c r="LU5" s="5"/>
      <c r="LV5" s="124" t="s">
        <v>403</v>
      </c>
      <c r="LW5" s="125"/>
      <c r="LX5" s="125"/>
      <c r="LY5" s="125"/>
      <c r="LZ5" s="125"/>
      <c r="MA5" s="125"/>
      <c r="MB5" s="125"/>
      <c r="MC5" s="125"/>
      <c r="MD5" s="125"/>
      <c r="ME5" s="125"/>
      <c r="MF5" s="126"/>
      <c r="MG5" s="5"/>
      <c r="MH5" s="5"/>
      <c r="MI5" s="5"/>
      <c r="MJ5" s="124" t="s">
        <v>404</v>
      </c>
      <c r="MK5" s="125"/>
      <c r="ML5" s="125"/>
      <c r="MM5" s="125"/>
      <c r="MN5" s="125"/>
      <c r="MO5" s="125"/>
      <c r="MP5" s="125"/>
      <c r="MQ5" s="125"/>
      <c r="MR5" s="125"/>
      <c r="MS5" s="125"/>
      <c r="MT5" s="126"/>
      <c r="MU5" s="5"/>
      <c r="MV5" s="124" t="s">
        <v>405</v>
      </c>
      <c r="MW5" s="125"/>
      <c r="MX5" s="125"/>
      <c r="MY5" s="125"/>
      <c r="MZ5" s="125"/>
      <c r="NA5" s="125"/>
      <c r="NB5" s="125"/>
      <c r="NC5" s="125"/>
      <c r="ND5" s="125"/>
      <c r="NE5" s="125"/>
      <c r="NF5" s="125"/>
      <c r="NG5" s="125"/>
      <c r="NH5" s="126"/>
      <c r="NI5" s="5"/>
      <c r="NJ5" s="5"/>
      <c r="NK5" s="5"/>
    </row>
    <row r="6" spans="1:378" ht="15" customHeight="1">
      <c r="A6" s="226"/>
      <c r="B6" s="78">
        <v>2</v>
      </c>
      <c r="C6" s="14"/>
      <c r="D6" s="14"/>
      <c r="E6" s="267" t="s">
        <v>25</v>
      </c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9"/>
      <c r="R6" s="124" t="s">
        <v>406</v>
      </c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6"/>
      <c r="AE6" s="5"/>
      <c r="AF6" s="5"/>
      <c r="AG6" s="5"/>
      <c r="AH6" s="5"/>
      <c r="AI6" s="5"/>
      <c r="AJ6" s="267" t="s">
        <v>25</v>
      </c>
      <c r="AK6" s="268"/>
      <c r="AL6" s="268"/>
      <c r="AM6" s="268"/>
      <c r="AN6" s="268"/>
      <c r="AO6" s="268"/>
      <c r="AP6" s="268"/>
      <c r="AQ6" s="268"/>
      <c r="AR6" s="268"/>
      <c r="AS6" s="268"/>
      <c r="AT6" s="268"/>
      <c r="AU6" s="268"/>
      <c r="AV6" s="269"/>
      <c r="AW6" s="5"/>
      <c r="AX6" s="5"/>
      <c r="AY6" s="5"/>
      <c r="AZ6" s="5"/>
      <c r="BA6" s="124" t="s">
        <v>407</v>
      </c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6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122" t="s">
        <v>408</v>
      </c>
      <c r="CH6" s="123"/>
      <c r="CI6" s="123"/>
      <c r="CJ6" s="123"/>
      <c r="CK6" s="123"/>
      <c r="CL6" s="123"/>
      <c r="CM6" s="123"/>
      <c r="CN6" s="123"/>
      <c r="CO6" s="123"/>
      <c r="CP6" s="123"/>
      <c r="CQ6" s="165"/>
      <c r="CR6" s="5"/>
      <c r="CS6" s="5"/>
      <c r="CT6" s="5"/>
      <c r="CU6" s="5"/>
      <c r="CV6" s="124" t="s">
        <v>409</v>
      </c>
      <c r="CW6" s="125"/>
      <c r="CX6" s="126"/>
      <c r="CY6" s="5"/>
      <c r="CZ6" s="5"/>
      <c r="DA6" s="5"/>
      <c r="DB6" s="124" t="s">
        <v>410</v>
      </c>
      <c r="DC6" s="125"/>
      <c r="DD6" s="125"/>
      <c r="DE6" s="125"/>
      <c r="DF6" s="125"/>
      <c r="DG6" s="125"/>
      <c r="DH6" s="125"/>
      <c r="DI6" s="125"/>
      <c r="DJ6" s="125"/>
      <c r="DK6" s="125"/>
      <c r="DL6" s="126"/>
      <c r="DM6" s="5"/>
      <c r="DN6" s="5"/>
      <c r="DO6" s="5"/>
      <c r="DP6" s="5"/>
      <c r="DQ6" s="5"/>
      <c r="DR6" s="5"/>
      <c r="DS6" s="5"/>
      <c r="DT6" s="122" t="s">
        <v>60</v>
      </c>
      <c r="DU6" s="123"/>
      <c r="DV6" s="123"/>
      <c r="DW6" s="123"/>
      <c r="DX6" s="123"/>
      <c r="DY6" s="123"/>
      <c r="DZ6" s="123"/>
      <c r="EA6" s="123"/>
      <c r="EB6" s="123"/>
      <c r="EC6" s="123"/>
      <c r="ED6" s="16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122" t="s">
        <v>411</v>
      </c>
      <c r="EV6" s="123"/>
      <c r="EW6" s="123"/>
      <c r="EX6" s="123"/>
      <c r="EY6" s="123"/>
      <c r="EZ6" s="123"/>
      <c r="FA6" s="123"/>
      <c r="FB6" s="123"/>
      <c r="FC6" s="123"/>
      <c r="FD6" s="123"/>
      <c r="FE6" s="165"/>
      <c r="FF6" s="5"/>
      <c r="FG6" s="5"/>
      <c r="FH6" s="5"/>
      <c r="FI6" s="5"/>
      <c r="FJ6" s="314" t="s">
        <v>412</v>
      </c>
      <c r="FK6" s="315"/>
      <c r="FL6" s="315"/>
      <c r="FM6" s="315"/>
      <c r="FN6" s="315"/>
      <c r="FO6" s="315"/>
      <c r="FP6" s="315"/>
      <c r="FQ6" s="315"/>
      <c r="FR6" s="315"/>
      <c r="FS6" s="315"/>
      <c r="FT6" s="316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202" t="s">
        <v>413</v>
      </c>
      <c r="GK6" s="203"/>
      <c r="GL6" s="203"/>
      <c r="GM6" s="203"/>
      <c r="GN6" s="203"/>
      <c r="GO6" s="203"/>
      <c r="GP6" s="203"/>
      <c r="GQ6" s="203"/>
      <c r="GR6" s="203"/>
      <c r="GS6" s="203"/>
      <c r="GT6" s="203"/>
      <c r="GU6" s="203"/>
      <c r="GV6" s="203"/>
      <c r="GW6" s="203"/>
      <c r="GX6" s="204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124" t="s">
        <v>409</v>
      </c>
      <c r="HK6" s="125"/>
      <c r="HL6" s="126"/>
      <c r="HM6" s="5"/>
      <c r="HN6" s="124" t="s">
        <v>414</v>
      </c>
      <c r="HO6" s="125"/>
      <c r="HP6" s="125"/>
      <c r="HQ6" s="125"/>
      <c r="HR6" s="125"/>
      <c r="HS6" s="125"/>
      <c r="HT6" s="125"/>
      <c r="HU6" s="125"/>
      <c r="HV6" s="125"/>
      <c r="HW6" s="125"/>
      <c r="HX6" s="126"/>
      <c r="HY6" s="5"/>
      <c r="HZ6" s="124" t="s">
        <v>415</v>
      </c>
      <c r="IA6" s="125"/>
      <c r="IB6" s="125"/>
      <c r="IC6" s="125"/>
      <c r="ID6" s="125"/>
      <c r="IE6" s="125"/>
      <c r="IF6" s="125"/>
      <c r="IG6" s="125"/>
      <c r="IH6" s="125"/>
      <c r="II6" s="125"/>
      <c r="IJ6" s="126"/>
      <c r="IK6" s="5"/>
      <c r="IL6" s="5"/>
      <c r="IM6" s="5"/>
      <c r="IN6" s="122" t="s">
        <v>416</v>
      </c>
      <c r="IO6" s="123"/>
      <c r="IP6" s="123"/>
      <c r="IQ6" s="123"/>
      <c r="IR6" s="123"/>
      <c r="IS6" s="123"/>
      <c r="IT6" s="123"/>
      <c r="IU6" s="165"/>
      <c r="IV6" s="5"/>
      <c r="IW6" s="5"/>
      <c r="IX6" s="5"/>
      <c r="IY6" s="5"/>
      <c r="IZ6" s="5"/>
      <c r="JA6" s="5"/>
      <c r="JB6" s="122" t="s">
        <v>238</v>
      </c>
      <c r="JC6" s="123"/>
      <c r="JD6" s="123"/>
      <c r="JE6" s="165"/>
      <c r="JF6" s="11"/>
      <c r="JG6" s="5"/>
      <c r="JH6" s="5"/>
      <c r="JI6" s="5"/>
      <c r="JJ6" s="5"/>
      <c r="JK6" s="124" t="s">
        <v>284</v>
      </c>
      <c r="JL6" s="125"/>
      <c r="JM6" s="125"/>
      <c r="JN6" s="125"/>
      <c r="JO6" s="125"/>
      <c r="JP6" s="125"/>
      <c r="JQ6" s="125"/>
      <c r="JR6" s="125"/>
      <c r="JS6" s="125"/>
      <c r="JT6" s="125"/>
      <c r="JU6" s="126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280" t="s">
        <v>60</v>
      </c>
      <c r="KK6" s="281"/>
      <c r="KL6" s="281"/>
      <c r="KM6" s="281"/>
      <c r="KN6" s="281"/>
      <c r="KO6" s="281"/>
      <c r="KP6" s="281"/>
      <c r="KQ6" s="281"/>
      <c r="KR6" s="281"/>
      <c r="KS6" s="282"/>
      <c r="KT6" s="280" t="s">
        <v>417</v>
      </c>
      <c r="KU6" s="281"/>
      <c r="KV6" s="281"/>
      <c r="KW6" s="281"/>
      <c r="KX6" s="282"/>
      <c r="KY6" s="5"/>
      <c r="KZ6" s="5"/>
      <c r="LA6" s="5"/>
      <c r="LB6" s="124" t="s">
        <v>418</v>
      </c>
      <c r="LC6" s="125"/>
      <c r="LD6" s="126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267" t="s">
        <v>25</v>
      </c>
      <c r="MB6" s="268"/>
      <c r="MC6" s="268"/>
      <c r="MD6" s="268"/>
      <c r="ME6" s="268"/>
      <c r="MF6" s="268"/>
      <c r="MG6" s="268"/>
      <c r="MH6" s="268"/>
      <c r="MI6" s="268"/>
      <c r="MJ6" s="268"/>
      <c r="MK6" s="268"/>
      <c r="ML6" s="268"/>
      <c r="MM6" s="269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</row>
    <row r="7" spans="1:378" ht="15.75" customHeight="1">
      <c r="A7" s="226"/>
      <c r="B7" s="37">
        <v>3</v>
      </c>
      <c r="C7" s="124" t="s">
        <v>419</v>
      </c>
      <c r="D7" s="125"/>
      <c r="E7" s="125"/>
      <c r="F7" s="125"/>
      <c r="G7" s="125"/>
      <c r="H7" s="125"/>
      <c r="I7" s="125"/>
      <c r="J7" s="126"/>
      <c r="K7" s="124" t="s">
        <v>420</v>
      </c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6"/>
      <c r="X7" s="5"/>
      <c r="Y7" s="5"/>
      <c r="Z7" s="122" t="s">
        <v>421</v>
      </c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6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124" t="s">
        <v>180</v>
      </c>
      <c r="BP7" s="125"/>
      <c r="BQ7" s="126"/>
      <c r="BR7" s="5"/>
      <c r="BS7" s="5"/>
      <c r="BT7" s="5"/>
      <c r="BU7" s="5"/>
      <c r="BV7" s="5"/>
      <c r="BW7" s="5"/>
      <c r="BX7" s="5"/>
      <c r="BY7" s="5"/>
      <c r="BZ7" s="5"/>
      <c r="CA7" s="5"/>
      <c r="CB7" s="124" t="s">
        <v>422</v>
      </c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6"/>
      <c r="CO7" s="5"/>
      <c r="CP7" s="5"/>
      <c r="CQ7" s="5"/>
      <c r="CR7" s="122" t="s">
        <v>423</v>
      </c>
      <c r="CS7" s="123"/>
      <c r="CT7" s="123"/>
      <c r="CU7" s="123"/>
      <c r="CV7" s="123"/>
      <c r="CW7" s="123"/>
      <c r="CX7" s="123"/>
      <c r="CY7" s="123"/>
      <c r="CZ7" s="123"/>
      <c r="DA7" s="123"/>
      <c r="DB7" s="16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122" t="s">
        <v>270</v>
      </c>
      <c r="DY7" s="123"/>
      <c r="DZ7" s="123"/>
      <c r="EA7" s="123"/>
      <c r="EB7" s="123"/>
      <c r="EC7" s="123"/>
      <c r="ED7" s="165"/>
      <c r="EE7" s="10" t="s">
        <v>280</v>
      </c>
      <c r="EF7" s="5"/>
      <c r="EG7" s="5"/>
      <c r="EH7" s="5"/>
      <c r="EI7" s="5"/>
      <c r="EJ7" s="5"/>
      <c r="EK7" s="5"/>
      <c r="EL7" s="5"/>
      <c r="EM7" s="5"/>
      <c r="EN7" s="5"/>
      <c r="EO7" s="124" t="s">
        <v>172</v>
      </c>
      <c r="EP7" s="125"/>
      <c r="EQ7" s="125"/>
      <c r="ER7" s="125"/>
      <c r="ES7" s="125"/>
      <c r="ET7" s="125"/>
      <c r="EU7" s="125"/>
      <c r="EV7" s="125"/>
      <c r="EW7" s="125"/>
      <c r="EX7" s="125"/>
      <c r="EY7" s="126"/>
      <c r="EZ7" s="5"/>
      <c r="FA7" s="5"/>
      <c r="FB7" s="305" t="s">
        <v>31</v>
      </c>
      <c r="FC7" s="306"/>
      <c r="FD7" s="306"/>
      <c r="FE7" s="306"/>
      <c r="FF7" s="306"/>
      <c r="FG7" s="306"/>
      <c r="FH7" s="306"/>
      <c r="FI7" s="306"/>
      <c r="FJ7" s="306"/>
      <c r="FK7" s="306"/>
      <c r="FL7" s="306"/>
      <c r="FM7" s="306"/>
      <c r="FN7" s="307"/>
      <c r="FO7" s="5"/>
      <c r="FP7" s="5"/>
      <c r="FQ7" s="5"/>
      <c r="FR7" s="5"/>
      <c r="FS7" s="5"/>
      <c r="FT7" s="243" t="s">
        <v>299</v>
      </c>
      <c r="FU7" s="241"/>
      <c r="FV7" s="241"/>
      <c r="FW7" s="241"/>
      <c r="FX7" s="241"/>
      <c r="FY7" s="241"/>
      <c r="FZ7" s="241"/>
      <c r="GA7" s="244"/>
      <c r="GB7" s="5"/>
      <c r="GC7" s="5"/>
      <c r="GD7" s="5"/>
      <c r="GE7" s="5"/>
      <c r="GF7" s="5"/>
      <c r="GG7" s="5"/>
      <c r="GH7" s="5"/>
      <c r="GI7" s="5"/>
      <c r="GJ7" s="202" t="s">
        <v>424</v>
      </c>
      <c r="GK7" s="203"/>
      <c r="GL7" s="203"/>
      <c r="GM7" s="203"/>
      <c r="GN7" s="203"/>
      <c r="GO7" s="203"/>
      <c r="GP7" s="203"/>
      <c r="GQ7" s="203"/>
      <c r="GR7" s="203"/>
      <c r="GS7" s="203"/>
      <c r="GT7" s="203"/>
      <c r="GU7" s="203"/>
      <c r="GV7" s="203"/>
      <c r="GW7" s="203"/>
      <c r="GX7" s="204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124" t="s">
        <v>425</v>
      </c>
      <c r="IA7" s="125"/>
      <c r="IB7" s="125"/>
      <c r="IC7" s="125"/>
      <c r="ID7" s="125"/>
      <c r="IE7" s="125"/>
      <c r="IF7" s="125"/>
      <c r="IG7" s="125"/>
      <c r="IH7" s="125"/>
      <c r="II7" s="125"/>
      <c r="IJ7" s="126"/>
      <c r="IK7" s="5"/>
      <c r="IL7" s="5"/>
      <c r="IM7" s="5"/>
      <c r="IN7" s="5"/>
      <c r="IO7" s="122" t="s">
        <v>61</v>
      </c>
      <c r="IP7" s="123"/>
      <c r="IQ7" s="123"/>
      <c r="IR7" s="123"/>
      <c r="IS7" s="123"/>
      <c r="IT7" s="123"/>
      <c r="IU7" s="165"/>
      <c r="IV7" s="122" t="s">
        <v>237</v>
      </c>
      <c r="IW7" s="123"/>
      <c r="IX7" s="123"/>
      <c r="IY7" s="123"/>
      <c r="IZ7" s="165"/>
      <c r="JA7" s="5"/>
      <c r="JB7" s="7" t="s">
        <v>251</v>
      </c>
      <c r="JC7" s="7" t="s">
        <v>252</v>
      </c>
      <c r="JD7" s="7" t="s">
        <v>188</v>
      </c>
      <c r="JE7" s="7" t="s">
        <v>189</v>
      </c>
      <c r="JF7" s="11"/>
      <c r="JG7" s="5"/>
      <c r="JH7" s="5"/>
      <c r="JI7" s="5"/>
      <c r="JJ7" s="5"/>
      <c r="JK7" s="124" t="s">
        <v>426</v>
      </c>
      <c r="JL7" s="125"/>
      <c r="JM7" s="125"/>
      <c r="JN7" s="125"/>
      <c r="JO7" s="125"/>
      <c r="JP7" s="125"/>
      <c r="JQ7" s="125"/>
      <c r="JR7" s="125"/>
      <c r="JS7" s="125"/>
      <c r="JT7" s="125"/>
      <c r="JU7" s="126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280" t="s">
        <v>427</v>
      </c>
      <c r="KK7" s="281"/>
      <c r="KL7" s="281"/>
      <c r="KM7" s="281"/>
      <c r="KN7" s="281"/>
      <c r="KO7" s="281"/>
      <c r="KP7" s="281"/>
      <c r="KQ7" s="281"/>
      <c r="KR7" s="281"/>
      <c r="KS7" s="282"/>
      <c r="KT7" s="5"/>
      <c r="KU7" s="5"/>
      <c r="KV7" s="5"/>
      <c r="KW7" s="267" t="s">
        <v>25</v>
      </c>
      <c r="KX7" s="268"/>
      <c r="KY7" s="268"/>
      <c r="KZ7" s="268"/>
      <c r="LA7" s="268"/>
      <c r="LB7" s="268"/>
      <c r="LC7" s="268"/>
      <c r="LD7" s="268"/>
      <c r="LE7" s="268"/>
      <c r="LF7" s="268"/>
      <c r="LG7" s="268"/>
      <c r="LH7" s="268"/>
      <c r="LI7" s="269"/>
      <c r="LJ7" s="5"/>
      <c r="LK7" s="5"/>
      <c r="LL7" s="5"/>
      <c r="LM7" s="124" t="s">
        <v>240</v>
      </c>
      <c r="LN7" s="125"/>
      <c r="LO7" s="125"/>
      <c r="LP7" s="125"/>
      <c r="LQ7" s="125"/>
      <c r="LR7" s="125"/>
      <c r="LS7" s="125"/>
      <c r="LT7" s="125"/>
      <c r="LU7" s="125"/>
      <c r="LV7" s="125"/>
      <c r="LW7" s="125"/>
      <c r="LX7" s="125"/>
      <c r="LY7" s="126"/>
      <c r="LZ7" s="5"/>
      <c r="MA7" s="5"/>
      <c r="MB7" s="5"/>
      <c r="MC7" s="5"/>
      <c r="MD7" s="5"/>
      <c r="ME7" s="5"/>
      <c r="MF7" s="124" t="s">
        <v>428</v>
      </c>
      <c r="MG7" s="125"/>
      <c r="MH7" s="126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</row>
    <row r="8" spans="1:378" ht="15.75" customHeight="1">
      <c r="A8" s="226"/>
      <c r="B8" s="78">
        <v>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302" t="s">
        <v>429</v>
      </c>
      <c r="Z8" s="303"/>
      <c r="AA8" s="303"/>
      <c r="AB8" s="303"/>
      <c r="AC8" s="303"/>
      <c r="AD8" s="303"/>
      <c r="AE8" s="303"/>
      <c r="AF8" s="303"/>
      <c r="AG8" s="303"/>
      <c r="AH8" s="303"/>
      <c r="AI8" s="304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267" t="s">
        <v>25</v>
      </c>
      <c r="BM8" s="268"/>
      <c r="BN8" s="268"/>
      <c r="BO8" s="268"/>
      <c r="BP8" s="268"/>
      <c r="BQ8" s="268"/>
      <c r="BR8" s="268"/>
      <c r="BS8" s="268"/>
      <c r="BT8" s="268"/>
      <c r="BU8" s="268"/>
      <c r="BV8" s="268"/>
      <c r="BW8" s="268"/>
      <c r="BX8" s="269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124" t="s">
        <v>430</v>
      </c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6"/>
      <c r="DA8" s="5"/>
      <c r="DB8" s="5"/>
      <c r="DC8" s="5"/>
      <c r="DD8" s="5"/>
      <c r="DE8" s="5"/>
      <c r="DF8" s="5"/>
      <c r="DG8" s="5"/>
      <c r="DH8" s="5"/>
      <c r="DI8" s="124" t="s">
        <v>13</v>
      </c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6"/>
      <c r="DV8" s="5"/>
      <c r="DW8" s="5"/>
      <c r="DX8" s="5"/>
      <c r="DY8" s="5"/>
      <c r="DZ8" s="5"/>
      <c r="EA8" s="5"/>
      <c r="EB8" s="5"/>
      <c r="EC8" s="5"/>
      <c r="ED8" s="5"/>
      <c r="EE8" s="122" t="s">
        <v>238</v>
      </c>
      <c r="EF8" s="123"/>
      <c r="EG8" s="123"/>
      <c r="EH8" s="123"/>
      <c r="EI8" s="165"/>
      <c r="EJ8" s="5"/>
      <c r="EK8" s="5"/>
      <c r="EL8" s="5"/>
      <c r="EM8" s="5"/>
      <c r="EN8" s="5"/>
      <c r="EO8" s="311" t="s">
        <v>431</v>
      </c>
      <c r="EP8" s="312"/>
      <c r="EQ8" s="312"/>
      <c r="ER8" s="312"/>
      <c r="ES8" s="312"/>
      <c r="ET8" s="312"/>
      <c r="EU8" s="312"/>
      <c r="EV8" s="312"/>
      <c r="EW8" s="312"/>
      <c r="EX8" s="312"/>
      <c r="EY8" s="313"/>
      <c r="EZ8" s="5"/>
      <c r="FA8" s="5"/>
      <c r="FB8" s="305" t="s">
        <v>432</v>
      </c>
      <c r="FC8" s="306"/>
      <c r="FD8" s="306"/>
      <c r="FE8" s="306"/>
      <c r="FF8" s="306"/>
      <c r="FG8" s="306"/>
      <c r="FH8" s="306"/>
      <c r="FI8" s="306"/>
      <c r="FJ8" s="306"/>
      <c r="FK8" s="306"/>
      <c r="FL8" s="306"/>
      <c r="FM8" s="306"/>
      <c r="FN8" s="307"/>
      <c r="FO8" s="5"/>
      <c r="FP8" s="5"/>
      <c r="FQ8" s="5"/>
      <c r="FR8" s="5"/>
      <c r="FS8" s="5"/>
      <c r="FT8" s="5"/>
      <c r="FU8" s="5"/>
      <c r="FV8" s="5"/>
      <c r="FW8" s="124" t="s">
        <v>433</v>
      </c>
      <c r="FX8" s="125"/>
      <c r="FY8" s="125"/>
      <c r="FZ8" s="125"/>
      <c r="GA8" s="125"/>
      <c r="GB8" s="125"/>
      <c r="GC8" s="125"/>
      <c r="GD8" s="125"/>
      <c r="GE8" s="125"/>
      <c r="GF8" s="125"/>
      <c r="GG8" s="125"/>
      <c r="GH8" s="125"/>
      <c r="GI8" s="126"/>
      <c r="GJ8" s="202" t="s">
        <v>434</v>
      </c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4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124" t="s">
        <v>299</v>
      </c>
      <c r="IA8" s="125"/>
      <c r="IB8" s="125"/>
      <c r="IC8" s="125"/>
      <c r="ID8" s="125"/>
      <c r="IE8" s="125"/>
      <c r="IF8" s="125"/>
      <c r="IG8" s="125"/>
      <c r="IH8" s="125"/>
      <c r="II8" s="125"/>
      <c r="IJ8" s="126"/>
      <c r="IK8" s="5"/>
      <c r="IL8" s="267" t="s">
        <v>25</v>
      </c>
      <c r="IM8" s="268"/>
      <c r="IN8" s="268"/>
      <c r="IO8" s="268"/>
      <c r="IP8" s="268"/>
      <c r="IQ8" s="268"/>
      <c r="IR8" s="268"/>
      <c r="IS8" s="268"/>
      <c r="IT8" s="268"/>
      <c r="IU8" s="268"/>
      <c r="IV8" s="268"/>
      <c r="IW8" s="268"/>
      <c r="IX8" s="269"/>
      <c r="IY8" s="13"/>
      <c r="IZ8" s="13"/>
      <c r="JA8" s="13"/>
      <c r="JB8" s="93" t="s">
        <v>262</v>
      </c>
      <c r="JC8" s="13"/>
      <c r="JD8" s="13"/>
      <c r="JE8" s="93" t="s">
        <v>209</v>
      </c>
      <c r="JF8" s="5"/>
      <c r="JG8" s="5"/>
      <c r="JH8" s="5"/>
      <c r="JI8" s="5"/>
      <c r="JJ8" s="5"/>
      <c r="JK8" s="124" t="s">
        <v>298</v>
      </c>
      <c r="JL8" s="125"/>
      <c r="JM8" s="125"/>
      <c r="JN8" s="125"/>
      <c r="JO8" s="125"/>
      <c r="JP8" s="125"/>
      <c r="JQ8" s="125"/>
      <c r="JR8" s="125"/>
      <c r="JS8" s="125"/>
      <c r="JT8" s="125"/>
      <c r="JU8" s="126"/>
      <c r="JV8" s="5"/>
      <c r="JW8" s="5"/>
      <c r="JX8" s="13"/>
      <c r="JY8" s="13"/>
      <c r="JZ8" s="13"/>
      <c r="KA8" s="13"/>
      <c r="KB8" s="13"/>
      <c r="KC8" s="13"/>
      <c r="KD8" s="13"/>
      <c r="KE8" s="124" t="s">
        <v>435</v>
      </c>
      <c r="KF8" s="125"/>
      <c r="KG8" s="125"/>
      <c r="KH8" s="125"/>
      <c r="KI8" s="125"/>
      <c r="KJ8" s="125"/>
      <c r="KK8" s="125"/>
      <c r="KL8" s="125"/>
      <c r="KM8" s="125"/>
      <c r="KN8" s="125"/>
      <c r="KO8" s="125"/>
      <c r="KP8" s="125"/>
      <c r="KQ8" s="126"/>
      <c r="KR8" s="124" t="s">
        <v>436</v>
      </c>
      <c r="KS8" s="125"/>
      <c r="KT8" s="125"/>
      <c r="KU8" s="125"/>
      <c r="KV8" s="125"/>
      <c r="KW8" s="125"/>
      <c r="KX8" s="125"/>
      <c r="KY8" s="125"/>
      <c r="KZ8" s="125"/>
      <c r="LA8" s="125"/>
      <c r="LB8" s="126"/>
      <c r="LC8" s="5"/>
      <c r="LD8" s="5"/>
      <c r="LE8" s="5"/>
      <c r="LF8" s="5"/>
      <c r="LG8" s="5"/>
      <c r="LH8" s="5"/>
      <c r="LI8" s="5"/>
      <c r="LJ8" s="5"/>
      <c r="LK8" s="5"/>
      <c r="LL8" s="5"/>
      <c r="LM8" s="124" t="s">
        <v>437</v>
      </c>
      <c r="LN8" s="125"/>
      <c r="LO8" s="125"/>
      <c r="LP8" s="125"/>
      <c r="LQ8" s="125"/>
      <c r="LR8" s="125"/>
      <c r="LS8" s="125"/>
      <c r="LT8" s="125"/>
      <c r="LU8" s="125"/>
      <c r="LV8" s="125"/>
      <c r="LW8" s="125"/>
      <c r="LX8" s="125"/>
      <c r="LY8" s="126"/>
      <c r="LZ8" s="5"/>
      <c r="MA8" s="5"/>
      <c r="MB8" s="5"/>
      <c r="MC8" s="5"/>
      <c r="MD8" s="5"/>
      <c r="ME8" s="5"/>
      <c r="MF8" s="5"/>
      <c r="MG8" s="5"/>
      <c r="MH8" s="280" t="s">
        <v>438</v>
      </c>
      <c r="MI8" s="281"/>
      <c r="MJ8" s="281"/>
      <c r="MK8" s="281"/>
      <c r="ML8" s="281"/>
      <c r="MM8" s="281"/>
      <c r="MN8" s="282"/>
      <c r="MO8" s="5"/>
      <c r="MP8" s="280" t="s">
        <v>439</v>
      </c>
      <c r="MQ8" s="281"/>
      <c r="MR8" s="281"/>
      <c r="MS8" s="281"/>
      <c r="MT8" s="281"/>
      <c r="MU8" s="282"/>
      <c r="MV8" s="5"/>
      <c r="MW8" s="286" t="s">
        <v>440</v>
      </c>
      <c r="MX8" s="287"/>
      <c r="MY8" s="287"/>
      <c r="MZ8" s="287"/>
      <c r="NA8" s="287"/>
      <c r="NB8" s="287"/>
      <c r="NC8" s="287"/>
      <c r="ND8" s="287"/>
      <c r="NE8" s="287"/>
      <c r="NF8" s="287"/>
      <c r="NG8" s="287"/>
      <c r="NH8" s="287"/>
      <c r="NI8" s="287"/>
      <c r="NJ8" s="287"/>
      <c r="NK8" s="288"/>
    </row>
    <row r="9" spans="1:378" ht="15.75">
      <c r="A9" s="226"/>
      <c r="B9" s="37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295" t="s">
        <v>441</v>
      </c>
      <c r="AT9" s="296"/>
      <c r="AU9" s="296"/>
      <c r="AV9" s="296"/>
      <c r="AW9" s="296"/>
      <c r="AX9" s="296"/>
      <c r="AY9" s="296"/>
      <c r="AZ9" s="297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122" t="s">
        <v>442</v>
      </c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6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122" t="s">
        <v>443</v>
      </c>
      <c r="DN9" s="123"/>
      <c r="DO9" s="123"/>
      <c r="DP9" s="123"/>
      <c r="DQ9" s="123"/>
      <c r="DR9" s="123"/>
      <c r="DS9" s="123"/>
      <c r="DT9" s="123"/>
      <c r="DU9" s="123"/>
      <c r="DV9" s="123"/>
      <c r="DW9" s="165"/>
      <c r="DX9" s="5"/>
      <c r="DY9" s="5"/>
      <c r="DZ9" s="5"/>
      <c r="EA9" s="5"/>
      <c r="EB9" s="5"/>
      <c r="EC9" s="5"/>
      <c r="ED9" s="5"/>
      <c r="EG9" s="7" t="s">
        <v>252</v>
      </c>
      <c r="EH9" s="5"/>
      <c r="EI9" s="5"/>
      <c r="EJ9" s="11"/>
      <c r="EK9" s="5"/>
      <c r="EL9" s="5"/>
      <c r="EM9" s="5"/>
      <c r="EN9" s="5"/>
      <c r="EO9" s="124" t="s">
        <v>216</v>
      </c>
      <c r="EP9" s="125"/>
      <c r="EQ9" s="125"/>
      <c r="ER9" s="125"/>
      <c r="ES9" s="125"/>
      <c r="ET9" s="125"/>
      <c r="EU9" s="125"/>
      <c r="EV9" s="125"/>
      <c r="EW9" s="125"/>
      <c r="EX9" s="125"/>
      <c r="EY9" s="126"/>
      <c r="EZ9" s="5"/>
      <c r="FA9" s="5"/>
      <c r="FB9" s="305" t="s">
        <v>259</v>
      </c>
      <c r="FC9" s="306"/>
      <c r="FD9" s="306"/>
      <c r="FE9" s="306"/>
      <c r="FF9" s="306"/>
      <c r="FG9" s="306"/>
      <c r="FH9" s="306"/>
      <c r="FI9" s="306"/>
      <c r="FJ9" s="306"/>
      <c r="FK9" s="306"/>
      <c r="FL9" s="306"/>
      <c r="FM9" s="306"/>
      <c r="FN9" s="307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202" t="s">
        <v>444</v>
      </c>
      <c r="GK9" s="203"/>
      <c r="GL9" s="203"/>
      <c r="GM9" s="203"/>
      <c r="GN9" s="203"/>
      <c r="GO9" s="203"/>
      <c r="GP9" s="203"/>
      <c r="GQ9" s="203"/>
      <c r="GR9" s="203"/>
      <c r="GS9" s="203"/>
      <c r="GT9" s="203"/>
      <c r="GU9" s="203"/>
      <c r="GV9" s="203"/>
      <c r="GW9" s="203"/>
      <c r="GX9" s="204"/>
      <c r="GY9" s="5"/>
      <c r="GZ9" s="5"/>
      <c r="HA9" s="5"/>
      <c r="HB9" s="5"/>
      <c r="HC9" s="124" t="s">
        <v>445</v>
      </c>
      <c r="HD9" s="125"/>
      <c r="HE9" s="125"/>
      <c r="HF9" s="125"/>
      <c r="HG9" s="125"/>
      <c r="HH9" s="125"/>
      <c r="HI9" s="125"/>
      <c r="HJ9" s="125"/>
      <c r="HK9" s="125"/>
      <c r="HL9" s="125"/>
      <c r="HM9" s="126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124" t="s">
        <v>446</v>
      </c>
      <c r="IH9" s="125"/>
      <c r="II9" s="125"/>
      <c r="IJ9" s="125"/>
      <c r="IK9" s="125"/>
      <c r="IL9" s="125"/>
      <c r="IM9" s="125"/>
      <c r="IN9" s="125"/>
      <c r="IO9" s="125"/>
      <c r="IP9" s="126"/>
      <c r="IQ9" s="5"/>
      <c r="IR9" s="124" t="s">
        <v>22</v>
      </c>
      <c r="IS9" s="125"/>
      <c r="IT9" s="126"/>
      <c r="IU9" s="5"/>
      <c r="IV9" s="124" t="s">
        <v>447</v>
      </c>
      <c r="IW9" s="125"/>
      <c r="IX9" s="125"/>
      <c r="IY9" s="125"/>
      <c r="IZ9" s="125"/>
      <c r="JA9" s="125"/>
      <c r="JB9" s="125"/>
      <c r="JC9" s="125"/>
      <c r="JD9" s="125"/>
      <c r="JE9" s="125"/>
      <c r="JF9" s="126"/>
      <c r="JG9" s="124" t="s">
        <v>448</v>
      </c>
      <c r="JH9" s="125"/>
      <c r="JI9" s="125"/>
      <c r="JJ9" s="125"/>
      <c r="JK9" s="125"/>
      <c r="JL9" s="125"/>
      <c r="JM9" s="125"/>
      <c r="JN9" s="125"/>
      <c r="JO9" s="125"/>
      <c r="JP9" s="125"/>
      <c r="JQ9" s="125"/>
      <c r="JR9" s="125"/>
      <c r="JS9" s="126"/>
      <c r="JT9" s="5"/>
      <c r="JU9" s="124" t="s">
        <v>22</v>
      </c>
      <c r="JV9" s="125"/>
      <c r="JW9" s="126"/>
      <c r="JX9" s="5"/>
      <c r="JY9" s="5"/>
      <c r="JZ9" s="5"/>
      <c r="KA9" s="5"/>
      <c r="KB9" s="5"/>
      <c r="KC9" s="13"/>
      <c r="KD9" s="13"/>
      <c r="KE9" s="124" t="s">
        <v>449</v>
      </c>
      <c r="KF9" s="125"/>
      <c r="KG9" s="125"/>
      <c r="KH9" s="125"/>
      <c r="KI9" s="125"/>
      <c r="KJ9" s="125"/>
      <c r="KK9" s="125"/>
      <c r="KL9" s="125"/>
      <c r="KM9" s="125"/>
      <c r="KN9" s="125"/>
      <c r="KO9" s="125"/>
      <c r="KP9" s="125"/>
      <c r="KQ9" s="126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124" t="s">
        <v>450</v>
      </c>
      <c r="LN9" s="125"/>
      <c r="LO9" s="125"/>
      <c r="LP9" s="125"/>
      <c r="LQ9" s="125"/>
      <c r="LR9" s="125"/>
      <c r="LS9" s="125"/>
      <c r="LT9" s="125"/>
      <c r="LU9" s="125"/>
      <c r="LV9" s="125"/>
      <c r="LW9" s="125"/>
      <c r="LX9" s="125"/>
      <c r="LY9" s="126"/>
      <c r="LZ9" s="5"/>
      <c r="MA9" s="5"/>
      <c r="MC9" s="124" t="s">
        <v>451</v>
      </c>
      <c r="MD9" s="125"/>
      <c r="ME9" s="125"/>
      <c r="MF9" s="125"/>
      <c r="MG9" s="125"/>
      <c r="MH9" s="125"/>
      <c r="MI9" s="125"/>
      <c r="MJ9" s="125"/>
      <c r="MK9" s="125"/>
      <c r="ML9" s="125"/>
      <c r="MM9" s="125"/>
      <c r="MN9" s="125"/>
      <c r="MO9" s="126"/>
      <c r="MP9" s="95" t="s">
        <v>452</v>
      </c>
      <c r="MQ9" s="5"/>
      <c r="MR9" s="95" t="s">
        <v>453</v>
      </c>
      <c r="MS9" s="95" t="s">
        <v>454</v>
      </c>
      <c r="MT9" s="5"/>
      <c r="MU9" s="95" t="s">
        <v>455</v>
      </c>
      <c r="MV9" s="5"/>
      <c r="MW9" s="95" t="s">
        <v>456</v>
      </c>
      <c r="MX9" s="5"/>
      <c r="MY9" s="95" t="s">
        <v>456</v>
      </c>
      <c r="MZ9" s="95" t="s">
        <v>457</v>
      </c>
      <c r="NA9" s="5"/>
      <c r="NB9" s="99" t="s">
        <v>5</v>
      </c>
      <c r="NC9" s="12"/>
      <c r="NE9" s="12"/>
      <c r="NH9" s="5"/>
      <c r="NI9" s="99" t="s">
        <v>1</v>
      </c>
      <c r="NJ9" s="5"/>
      <c r="NK9" s="100" t="s">
        <v>458</v>
      </c>
    </row>
    <row r="10" spans="1:378" ht="15.75" customHeight="1">
      <c r="A10" s="226"/>
      <c r="B10" s="78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298" t="s">
        <v>459</v>
      </c>
      <c r="AT10" s="299"/>
      <c r="AU10" s="299"/>
      <c r="AV10" s="299"/>
      <c r="AW10" s="299"/>
      <c r="AX10" s="299"/>
      <c r="AY10" s="299"/>
      <c r="AZ10" s="299"/>
      <c r="BA10" s="299"/>
      <c r="BB10" s="299"/>
      <c r="BC10" s="300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122" t="s">
        <v>460</v>
      </c>
      <c r="BV10" s="123"/>
      <c r="BW10" s="123"/>
      <c r="BX10" s="123"/>
      <c r="BY10" s="123"/>
      <c r="BZ10" s="123"/>
      <c r="CA10" s="123"/>
      <c r="CB10" s="123"/>
      <c r="CC10" s="123"/>
      <c r="CD10" s="123"/>
      <c r="CE10" s="16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267" t="s">
        <v>25</v>
      </c>
      <c r="DU10" s="268"/>
      <c r="DV10" s="268"/>
      <c r="DW10" s="268"/>
      <c r="DX10" s="268"/>
      <c r="DY10" s="268"/>
      <c r="DZ10" s="268"/>
      <c r="EA10" s="268"/>
      <c r="EB10" s="268"/>
      <c r="EC10" s="268"/>
      <c r="ED10" s="268"/>
      <c r="EE10" s="268"/>
      <c r="EF10" s="269"/>
      <c r="EG10" s="27" t="s">
        <v>297</v>
      </c>
      <c r="EH10" s="27" t="s">
        <v>189</v>
      </c>
      <c r="EI10" s="27" t="s">
        <v>209</v>
      </c>
      <c r="EK10" s="14"/>
      <c r="EL10" s="5"/>
      <c r="EM10" s="5"/>
      <c r="EN10" s="5"/>
      <c r="EO10" s="124" t="s">
        <v>276</v>
      </c>
      <c r="EP10" s="125"/>
      <c r="EQ10" s="125"/>
      <c r="ER10" s="125"/>
      <c r="ES10" s="125"/>
      <c r="ET10" s="125"/>
      <c r="EU10" s="125"/>
      <c r="EV10" s="125"/>
      <c r="EW10" s="125"/>
      <c r="EX10" s="125"/>
      <c r="EY10" s="126"/>
      <c r="EZ10" s="5"/>
      <c r="FA10" s="5"/>
      <c r="FB10" s="305" t="s">
        <v>271</v>
      </c>
      <c r="FC10" s="306"/>
      <c r="FD10" s="306"/>
      <c r="FE10" s="306"/>
      <c r="FF10" s="306"/>
      <c r="FG10" s="306"/>
      <c r="FH10" s="306"/>
      <c r="FI10" s="306"/>
      <c r="FJ10" s="306"/>
      <c r="FK10" s="306"/>
      <c r="FL10" s="306"/>
      <c r="FM10" s="306"/>
      <c r="FN10" s="307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124" t="s">
        <v>409</v>
      </c>
      <c r="GE10" s="125"/>
      <c r="GF10" s="126"/>
      <c r="GG10" s="5"/>
      <c r="GH10" s="5"/>
      <c r="GI10" s="5"/>
      <c r="GJ10" s="202" t="s">
        <v>461</v>
      </c>
      <c r="GK10" s="203"/>
      <c r="GL10" s="203"/>
      <c r="GM10" s="203"/>
      <c r="GN10" s="203"/>
      <c r="GO10" s="203"/>
      <c r="GP10" s="203"/>
      <c r="GQ10" s="204"/>
      <c r="GR10" s="5"/>
      <c r="GS10" s="5"/>
      <c r="GT10" s="5"/>
      <c r="GU10" s="5"/>
      <c r="GV10" s="5"/>
      <c r="GW10" s="5"/>
      <c r="GX10" s="124" t="s">
        <v>462</v>
      </c>
      <c r="GY10" s="125"/>
      <c r="GZ10" s="125"/>
      <c r="HA10" s="125"/>
      <c r="HB10" s="125"/>
      <c r="HC10" s="125"/>
      <c r="HD10" s="125"/>
      <c r="HE10" s="125"/>
      <c r="HF10" s="125"/>
      <c r="HG10" s="125"/>
      <c r="HH10" s="126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124" t="s">
        <v>463</v>
      </c>
      <c r="IH10" s="125"/>
      <c r="II10" s="125"/>
      <c r="IJ10" s="125"/>
      <c r="IK10" s="125"/>
      <c r="IL10" s="125"/>
      <c r="IM10" s="125"/>
      <c r="IN10" s="125"/>
      <c r="IO10" s="125"/>
      <c r="IP10" s="126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124" t="s">
        <v>464</v>
      </c>
      <c r="JC10" s="125"/>
      <c r="JD10" s="125"/>
      <c r="JE10" s="125"/>
      <c r="JF10" s="125"/>
      <c r="JG10" s="125"/>
      <c r="JH10" s="125"/>
      <c r="JI10" s="125"/>
      <c r="JJ10" s="125"/>
      <c r="JK10" s="125"/>
      <c r="JL10" s="126"/>
      <c r="JM10" s="5"/>
      <c r="JN10" s="5"/>
      <c r="JO10" s="5"/>
      <c r="JP10" s="267" t="s">
        <v>25</v>
      </c>
      <c r="JQ10" s="268"/>
      <c r="JR10" s="268"/>
      <c r="JS10" s="268"/>
      <c r="JT10" s="268"/>
      <c r="JU10" s="268"/>
      <c r="JV10" s="268"/>
      <c r="JW10" s="268"/>
      <c r="JX10" s="268"/>
      <c r="JY10" s="268"/>
      <c r="JZ10" s="268"/>
      <c r="KA10" s="268"/>
      <c r="KB10" s="269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124" t="s">
        <v>276</v>
      </c>
      <c r="LN10" s="125"/>
      <c r="LO10" s="125"/>
      <c r="LP10" s="125"/>
      <c r="LQ10" s="125"/>
      <c r="LR10" s="125"/>
      <c r="LS10" s="125"/>
      <c r="LT10" s="125"/>
      <c r="LU10" s="125"/>
      <c r="LV10" s="125"/>
      <c r="LW10" s="125"/>
      <c r="LX10" s="125"/>
      <c r="LY10" s="126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14"/>
      <c r="NB10" s="283" t="s">
        <v>238</v>
      </c>
      <c r="NC10" s="284"/>
      <c r="ND10" s="284"/>
      <c r="NE10" s="284"/>
      <c r="NF10" s="284"/>
      <c r="NG10" s="284"/>
      <c r="NH10" s="284"/>
      <c r="NI10" s="284"/>
      <c r="NJ10" s="284"/>
      <c r="NK10" s="285"/>
    </row>
    <row r="11" spans="1:378" ht="15.75">
      <c r="A11" s="226"/>
      <c r="B11" s="37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298" t="s">
        <v>465</v>
      </c>
      <c r="AT11" s="299"/>
      <c r="AU11" s="299"/>
      <c r="AV11" s="299"/>
      <c r="AW11" s="299"/>
      <c r="AX11" s="299"/>
      <c r="AY11" s="300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122" t="s">
        <v>466</v>
      </c>
      <c r="BV11" s="123"/>
      <c r="BW11" s="123"/>
      <c r="BX11" s="123"/>
      <c r="BY11" s="123"/>
      <c r="BZ11" s="123"/>
      <c r="CA11" s="123"/>
      <c r="CB11" s="16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 t="s">
        <v>467</v>
      </c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124" t="s">
        <v>180</v>
      </c>
      <c r="DX11" s="125"/>
      <c r="DY11" s="126"/>
      <c r="DZ11" s="5"/>
      <c r="EA11" s="5"/>
      <c r="EB11" s="5"/>
      <c r="EC11" s="5"/>
      <c r="ED11" s="5"/>
      <c r="EE11" s="124" t="s">
        <v>468</v>
      </c>
      <c r="EF11" s="125"/>
      <c r="EG11" s="125"/>
      <c r="EH11" s="125"/>
      <c r="EI11" s="125"/>
      <c r="EJ11" s="125"/>
      <c r="EK11" s="125"/>
      <c r="EL11" s="125"/>
      <c r="EM11" s="125"/>
      <c r="EN11" s="125"/>
      <c r="EO11" s="125"/>
      <c r="EP11" s="125"/>
      <c r="EQ11" s="126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305" t="s">
        <v>469</v>
      </c>
      <c r="FC11" s="306"/>
      <c r="FD11" s="306"/>
      <c r="FE11" s="306"/>
      <c r="FF11" s="306"/>
      <c r="FG11" s="306"/>
      <c r="FH11" s="306"/>
      <c r="FI11" s="306"/>
      <c r="FJ11" s="306"/>
      <c r="FK11" s="306"/>
      <c r="FL11" s="306"/>
      <c r="FM11" s="306"/>
      <c r="FN11" s="307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267" t="s">
        <v>25</v>
      </c>
      <c r="GC11" s="268"/>
      <c r="GD11" s="268"/>
      <c r="GE11" s="268"/>
      <c r="GF11" s="268"/>
      <c r="GG11" s="268"/>
      <c r="GH11" s="268"/>
      <c r="GI11" s="268"/>
      <c r="GJ11" s="268"/>
      <c r="GK11" s="268"/>
      <c r="GL11" s="268"/>
      <c r="GM11" s="268"/>
      <c r="GN11" s="269"/>
      <c r="GO11" s="5"/>
      <c r="GP11" s="5"/>
      <c r="GQ11" s="5"/>
      <c r="GR11" s="124" t="s">
        <v>470</v>
      </c>
      <c r="GS11" s="125"/>
      <c r="GT11" s="125"/>
      <c r="GU11" s="125"/>
      <c r="GV11" s="125"/>
      <c r="GW11" s="125"/>
      <c r="GX11" s="125"/>
      <c r="GY11" s="125"/>
      <c r="GZ11" s="125"/>
      <c r="HA11" s="125"/>
      <c r="HB11" s="125"/>
      <c r="HC11" s="125"/>
      <c r="HD11" s="126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124" t="s">
        <v>291</v>
      </c>
      <c r="IH11" s="125"/>
      <c r="II11" s="125"/>
      <c r="IJ11" s="125"/>
      <c r="IK11" s="125"/>
      <c r="IL11" s="125"/>
      <c r="IM11" s="125"/>
      <c r="IN11" s="125"/>
      <c r="IO11" s="125"/>
      <c r="IP11" s="126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289" t="s">
        <v>471</v>
      </c>
      <c r="JD11" s="290"/>
      <c r="JE11" s="290"/>
      <c r="JF11" s="290"/>
      <c r="JG11" s="290"/>
      <c r="JH11" s="290"/>
      <c r="JI11" s="291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124" t="s">
        <v>472</v>
      </c>
      <c r="JZ11" s="125"/>
      <c r="KA11" s="125"/>
      <c r="KB11" s="125"/>
      <c r="KC11" s="125"/>
      <c r="KD11" s="125"/>
      <c r="KE11" s="125"/>
      <c r="KF11" s="125"/>
      <c r="KG11" s="125"/>
      <c r="KH11" s="125"/>
      <c r="KI11" s="126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124" t="s">
        <v>412</v>
      </c>
      <c r="LG11" s="125"/>
      <c r="LH11" s="125"/>
      <c r="LI11" s="125"/>
      <c r="LJ11" s="125"/>
      <c r="LK11" s="125"/>
      <c r="LL11" s="125"/>
      <c r="LM11" s="125"/>
      <c r="LN11" s="125"/>
      <c r="LO11" s="125"/>
      <c r="LP11" s="126"/>
      <c r="LR11" s="124" t="s">
        <v>473</v>
      </c>
      <c r="LS11" s="125"/>
      <c r="LT11" s="125"/>
      <c r="LU11" s="125"/>
      <c r="LV11" s="125"/>
      <c r="LW11" s="125"/>
      <c r="LX11" s="125"/>
      <c r="LY11" s="125"/>
      <c r="LZ11" s="125"/>
      <c r="MA11" s="125"/>
      <c r="MB11" s="125"/>
      <c r="MC11" s="125"/>
      <c r="MD11" s="126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124" t="s">
        <v>474</v>
      </c>
      <c r="MP11" s="125"/>
      <c r="MQ11" s="125"/>
      <c r="MR11" s="125"/>
      <c r="MS11" s="125"/>
      <c r="MT11" s="125"/>
      <c r="MU11" s="125"/>
      <c r="MV11" s="125"/>
      <c r="MW11" s="125"/>
      <c r="MX11" s="125"/>
      <c r="MY11" s="125"/>
      <c r="MZ11" s="125"/>
      <c r="NA11" s="125"/>
      <c r="NB11" s="241"/>
      <c r="NC11" s="244"/>
      <c r="ND11" s="13"/>
      <c r="NE11" s="13"/>
      <c r="NF11" s="13"/>
      <c r="NG11" s="13"/>
      <c r="NH11" s="5"/>
      <c r="NI11" s="5"/>
      <c r="NJ11" s="5"/>
      <c r="NK11" s="5"/>
    </row>
    <row r="12" spans="1:378">
      <c r="A12" s="226"/>
      <c r="B12" s="78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298" t="s">
        <v>62</v>
      </c>
      <c r="BB12" s="300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122" t="s">
        <v>475</v>
      </c>
      <c r="CF12" s="123"/>
      <c r="CG12" s="123"/>
      <c r="CH12" s="123"/>
      <c r="CI12" s="123"/>
      <c r="CJ12" s="123"/>
      <c r="CK12" s="123"/>
      <c r="CL12" s="123"/>
      <c r="CM12" s="16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 t="s">
        <v>476</v>
      </c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F12" s="14"/>
      <c r="EG12" s="5"/>
      <c r="EH12" s="5"/>
      <c r="EI12" s="5"/>
      <c r="EJ12" s="11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124" t="s">
        <v>409</v>
      </c>
      <c r="FF12" s="125"/>
      <c r="FG12" s="126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124" t="s">
        <v>477</v>
      </c>
      <c r="HU12" s="125"/>
      <c r="HV12" s="125"/>
      <c r="HW12" s="125"/>
      <c r="HX12" s="125"/>
      <c r="HY12" s="125"/>
      <c r="HZ12" s="125"/>
      <c r="IA12" s="125"/>
      <c r="IB12" s="125"/>
      <c r="IC12" s="125"/>
      <c r="ID12" s="125"/>
      <c r="IE12" s="125"/>
      <c r="IF12" s="126"/>
      <c r="IG12" s="124" t="s">
        <v>478</v>
      </c>
      <c r="IH12" s="125"/>
      <c r="II12" s="125"/>
      <c r="IJ12" s="125"/>
      <c r="IK12" s="125"/>
      <c r="IL12" s="125"/>
      <c r="IM12" s="125"/>
      <c r="IN12" s="125"/>
      <c r="IO12" s="125"/>
      <c r="IP12" s="126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10" t="s">
        <v>479</v>
      </c>
      <c r="KE12" s="5"/>
      <c r="KF12" s="5"/>
      <c r="KG12" s="5"/>
      <c r="KH12" s="5"/>
      <c r="KI12" s="5"/>
      <c r="KJ12" s="5"/>
      <c r="KK12" s="10" t="s">
        <v>480</v>
      </c>
      <c r="KL12" s="5"/>
      <c r="KM12" s="5"/>
      <c r="KN12" s="5"/>
      <c r="KO12" s="5"/>
      <c r="KP12" s="5"/>
      <c r="KQ12" s="10" t="s">
        <v>481</v>
      </c>
      <c r="KR12" s="5"/>
      <c r="KS12" s="5"/>
      <c r="KT12" s="10" t="s">
        <v>482</v>
      </c>
      <c r="KU12" s="5"/>
      <c r="KV12" s="5"/>
      <c r="KW12" s="5"/>
      <c r="KX12" s="5"/>
      <c r="KY12" s="122" t="s">
        <v>483</v>
      </c>
      <c r="KZ12" s="123"/>
      <c r="LA12" s="123"/>
      <c r="LB12" s="123"/>
      <c r="LC12" s="123"/>
      <c r="LD12" s="123"/>
      <c r="LE12" s="123"/>
      <c r="LF12" s="123"/>
      <c r="LG12" s="123"/>
      <c r="LH12" s="123"/>
      <c r="LI12" s="123"/>
      <c r="LJ12" s="123"/>
      <c r="LK12" s="123"/>
      <c r="LL12" s="123"/>
      <c r="LM12" s="16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124" t="s">
        <v>484</v>
      </c>
      <c r="MP12" s="125"/>
      <c r="MQ12" s="125"/>
      <c r="MR12" s="125"/>
      <c r="MS12" s="125"/>
      <c r="MT12" s="125"/>
      <c r="MU12" s="125"/>
      <c r="MV12" s="125"/>
      <c r="MW12" s="125"/>
      <c r="MX12" s="125"/>
      <c r="MY12" s="125"/>
      <c r="MZ12" s="125"/>
      <c r="NA12" s="125"/>
      <c r="NB12" s="125"/>
      <c r="NC12" s="126"/>
      <c r="ND12" s="5"/>
      <c r="NE12" s="5"/>
      <c r="NF12" s="5"/>
      <c r="NG12" s="5"/>
      <c r="NH12" s="5"/>
      <c r="NI12" s="5"/>
      <c r="NJ12" s="5"/>
      <c r="NK12" s="5"/>
    </row>
    <row r="13" spans="1:378">
      <c r="A13" s="226"/>
      <c r="B13" s="37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298" t="s">
        <v>238</v>
      </c>
      <c r="BC13" s="300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122" t="s">
        <v>485</v>
      </c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6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 t="s">
        <v>486</v>
      </c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14"/>
      <c r="EG13" s="5"/>
      <c r="EH13" s="5"/>
      <c r="EI13" s="5"/>
      <c r="EJ13" s="11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 t="s">
        <v>487</v>
      </c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 t="s">
        <v>488</v>
      </c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124" t="s">
        <v>305</v>
      </c>
      <c r="IH13" s="125"/>
      <c r="II13" s="125"/>
      <c r="IJ13" s="125"/>
      <c r="IK13" s="125"/>
      <c r="IL13" s="125"/>
      <c r="IM13" s="125"/>
      <c r="IN13" s="125"/>
      <c r="IO13" s="125"/>
      <c r="IP13" s="126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94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122" t="s">
        <v>413</v>
      </c>
      <c r="KZ13" s="123"/>
      <c r="LA13" s="123"/>
      <c r="LB13" s="123"/>
      <c r="LC13" s="123"/>
      <c r="LD13" s="123"/>
      <c r="LE13" s="123"/>
      <c r="LF13" s="123"/>
      <c r="LG13" s="123"/>
      <c r="LH13" s="123"/>
      <c r="LI13" s="123"/>
      <c r="LJ13" s="123"/>
      <c r="LK13" s="123"/>
      <c r="LL13" s="123"/>
      <c r="LM13" s="16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124" t="s">
        <v>489</v>
      </c>
      <c r="MP13" s="125"/>
      <c r="MQ13" s="125"/>
      <c r="MR13" s="125"/>
      <c r="MS13" s="125"/>
      <c r="MT13" s="125"/>
      <c r="MU13" s="125"/>
      <c r="MV13" s="125"/>
      <c r="MW13" s="125"/>
      <c r="MX13" s="125"/>
      <c r="MY13" s="125"/>
      <c r="MZ13" s="125"/>
      <c r="NA13" s="125"/>
      <c r="NB13" s="125"/>
      <c r="NC13" s="126"/>
      <c r="ND13" s="5"/>
      <c r="NE13" s="5"/>
      <c r="NF13" s="5"/>
      <c r="NG13" s="5"/>
      <c r="NH13" s="5"/>
      <c r="NI13" s="5"/>
      <c r="NJ13" s="5"/>
      <c r="NK13" s="5"/>
    </row>
    <row r="14" spans="1:378" ht="15" customHeight="1">
      <c r="A14" s="226"/>
      <c r="B14" s="78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7" t="s">
        <v>209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122" t="s">
        <v>490</v>
      </c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6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 t="s">
        <v>491</v>
      </c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14"/>
      <c r="EG14" s="5"/>
      <c r="EH14" s="5"/>
      <c r="EI14" s="5"/>
      <c r="EJ14" s="11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88" t="s">
        <v>492</v>
      </c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292" t="s">
        <v>493</v>
      </c>
      <c r="KZ14" s="293"/>
      <c r="LA14" s="293"/>
      <c r="LB14" s="293"/>
      <c r="LC14" s="293"/>
      <c r="LD14" s="293"/>
      <c r="LE14" s="293"/>
      <c r="LF14" s="293"/>
      <c r="LG14" s="293"/>
      <c r="LH14" s="293"/>
      <c r="LI14" s="293"/>
      <c r="LJ14" s="293"/>
      <c r="LK14" s="293"/>
      <c r="LL14" s="293"/>
      <c r="LM14" s="294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124" t="s">
        <v>494</v>
      </c>
      <c r="MP14" s="125"/>
      <c r="MQ14" s="125"/>
      <c r="MR14" s="125"/>
      <c r="MS14" s="125"/>
      <c r="MT14" s="125"/>
      <c r="MU14" s="125"/>
      <c r="MV14" s="125"/>
      <c r="MW14" s="125"/>
      <c r="MX14" s="125"/>
      <c r="MY14" s="125"/>
      <c r="MZ14" s="125"/>
      <c r="NA14" s="125"/>
      <c r="NB14" s="125"/>
      <c r="NC14" s="126"/>
      <c r="ND14" s="5"/>
      <c r="NE14" s="5"/>
      <c r="NF14" s="5"/>
      <c r="NG14" s="5"/>
      <c r="NH14" s="5"/>
      <c r="NI14" s="5"/>
      <c r="NJ14" s="5"/>
      <c r="NK14" s="5"/>
    </row>
    <row r="15" spans="1:378" ht="15" customHeight="1">
      <c r="A15" s="301"/>
      <c r="B15" s="37">
        <v>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122" t="s">
        <v>27</v>
      </c>
      <c r="BV15" s="123"/>
      <c r="BW15" s="123"/>
      <c r="BX15" s="123"/>
      <c r="BY15" s="123"/>
      <c r="BZ15" s="123"/>
      <c r="CA15" s="123"/>
      <c r="CB15" s="16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 t="s">
        <v>495</v>
      </c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13"/>
      <c r="EH15" s="13"/>
      <c r="EI15" s="13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122" t="s">
        <v>424</v>
      </c>
      <c r="KZ15" s="123"/>
      <c r="LA15" s="123"/>
      <c r="LB15" s="123"/>
      <c r="LC15" s="123"/>
      <c r="LD15" s="123"/>
      <c r="LE15" s="123"/>
      <c r="LF15" s="123"/>
      <c r="LG15" s="123"/>
      <c r="LH15" s="123"/>
      <c r="LI15" s="123"/>
      <c r="LJ15" s="123"/>
      <c r="LK15" s="123"/>
      <c r="LL15" s="123"/>
      <c r="LM15" s="16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</row>
    <row r="16" spans="1:378">
      <c r="A16" s="193" t="s">
        <v>94</v>
      </c>
      <c r="B16" s="78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122" t="s">
        <v>434</v>
      </c>
      <c r="KZ16" s="123"/>
      <c r="LA16" s="123"/>
      <c r="LB16" s="123"/>
      <c r="LC16" s="123"/>
      <c r="LD16" s="123"/>
      <c r="LE16" s="123"/>
      <c r="LF16" s="123"/>
      <c r="LG16" s="123"/>
      <c r="LH16" s="123"/>
      <c r="LI16" s="123"/>
      <c r="LJ16" s="123"/>
      <c r="LK16" s="123"/>
      <c r="LL16" s="123"/>
      <c r="LM16" s="16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</row>
    <row r="17" spans="1:375">
      <c r="A17" s="196"/>
      <c r="B17" s="37">
        <v>13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122" t="s">
        <v>444</v>
      </c>
      <c r="KZ17" s="123"/>
      <c r="LA17" s="123"/>
      <c r="LB17" s="123"/>
      <c r="LC17" s="123"/>
      <c r="LD17" s="123"/>
      <c r="LE17" s="123"/>
      <c r="LF17" s="123"/>
      <c r="LG17" s="123"/>
      <c r="LH17" s="123"/>
      <c r="LI17" s="123"/>
      <c r="LJ17" s="123"/>
      <c r="LK17" s="123"/>
      <c r="LL17" s="123"/>
      <c r="LM17" s="16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</row>
    <row r="18" spans="1:375">
      <c r="A18" s="195"/>
      <c r="B18" s="78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122" t="s">
        <v>461</v>
      </c>
      <c r="KZ18" s="123"/>
      <c r="LA18" s="123"/>
      <c r="LB18" s="123"/>
      <c r="LC18" s="123"/>
      <c r="LD18" s="123"/>
      <c r="LE18" s="123"/>
      <c r="LF18" s="123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</row>
    <row r="19" spans="1:375">
      <c r="A19" s="193" t="s">
        <v>99</v>
      </c>
      <c r="B19" s="37">
        <v>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</row>
    <row r="20" spans="1:375">
      <c r="A20" s="196"/>
      <c r="B20" s="78">
        <v>16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</row>
    <row r="21" spans="1:375">
      <c r="A21" s="196"/>
      <c r="B21" s="78">
        <v>17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</row>
    <row r="22" spans="1:375">
      <c r="A22" s="195"/>
      <c r="B22" s="37">
        <v>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</row>
    <row r="23" spans="1:375">
      <c r="A23" s="193" t="s">
        <v>109</v>
      </c>
      <c r="B23" s="78">
        <v>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88" t="s">
        <v>496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</row>
    <row r="24" spans="1:375">
      <c r="A24" s="196"/>
      <c r="B24" s="37">
        <v>20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</row>
    <row r="25" spans="1:375">
      <c r="A25" s="196"/>
      <c r="B25" s="3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</row>
    <row r="26" spans="1:375">
      <c r="A26" s="195"/>
      <c r="B26" s="78">
        <v>21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</row>
    <row r="27" spans="1:375">
      <c r="A27" s="193" t="s">
        <v>115</v>
      </c>
      <c r="B27" s="78">
        <v>22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7" t="s">
        <v>497</v>
      </c>
      <c r="BV27" s="5"/>
      <c r="BW27" s="5"/>
      <c r="BX27" s="5"/>
      <c r="BY27" s="5"/>
      <c r="BZ27" s="5"/>
      <c r="CA27" s="5"/>
      <c r="CB27" s="5" t="s">
        <v>498</v>
      </c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7" t="s">
        <v>499</v>
      </c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7" t="s">
        <v>500</v>
      </c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</row>
    <row r="28" spans="1:375">
      <c r="A28" s="196"/>
      <c r="B28" s="37">
        <v>23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7" t="s">
        <v>501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7" t="s">
        <v>502</v>
      </c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7" t="s">
        <v>503</v>
      </c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</row>
    <row r="29" spans="1:375">
      <c r="A29" s="196"/>
      <c r="B29" s="37">
        <v>23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7" t="s">
        <v>504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7" t="s">
        <v>505</v>
      </c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7" t="s">
        <v>506</v>
      </c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</row>
    <row r="30" spans="1:375">
      <c r="A30" s="196"/>
      <c r="B30" s="78">
        <v>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7" t="s">
        <v>507</v>
      </c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</row>
    <row r="31" spans="1:375">
      <c r="A31" s="195"/>
      <c r="B31" s="78">
        <v>24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</row>
  </sheetData>
  <mergeCells count="162">
    <mergeCell ref="GX10:HH10"/>
    <mergeCell ref="LM7:LY7"/>
    <mergeCell ref="LM8:LY8"/>
    <mergeCell ref="LM9:LY9"/>
    <mergeCell ref="LM10:LY10"/>
    <mergeCell ref="LK5:LM5"/>
    <mergeCell ref="LV5:MF5"/>
    <mergeCell ref="MP8:MU8"/>
    <mergeCell ref="MC9:MO9"/>
    <mergeCell ref="MJ5:MT5"/>
    <mergeCell ref="IN6:IU6"/>
    <mergeCell ref="HZ5:IJ5"/>
    <mergeCell ref="HZ8:IJ8"/>
    <mergeCell ref="IL8:IX8"/>
    <mergeCell ref="HG5:HS5"/>
    <mergeCell ref="HN6:HX6"/>
    <mergeCell ref="HJ6:HL6"/>
    <mergeCell ref="GJ5:GX5"/>
    <mergeCell ref="GJ6:GX6"/>
    <mergeCell ref="GJ7:GX7"/>
    <mergeCell ref="HZ6:IJ6"/>
    <mergeCell ref="IN5:IU5"/>
    <mergeCell ref="GJ9:GX9"/>
    <mergeCell ref="IV7:IZ7"/>
    <mergeCell ref="DM9:DW9"/>
    <mergeCell ref="DW11:DY11"/>
    <mergeCell ref="EE11:EQ11"/>
    <mergeCell ref="EO8:EY8"/>
    <mergeCell ref="FP5:GB5"/>
    <mergeCell ref="FW8:GI8"/>
    <mergeCell ref="EO9:EY9"/>
    <mergeCell ref="EO10:EY10"/>
    <mergeCell ref="DT10:EF10"/>
    <mergeCell ref="DI8:DU8"/>
    <mergeCell ref="FB7:FN7"/>
    <mergeCell ref="FB8:FN8"/>
    <mergeCell ref="DB6:DL6"/>
    <mergeCell ref="DT6:ED6"/>
    <mergeCell ref="DQ5:EI5"/>
    <mergeCell ref="DX7:ED7"/>
    <mergeCell ref="EE8:EI8"/>
    <mergeCell ref="EO7:EY7"/>
    <mergeCell ref="EK5:EW5"/>
    <mergeCell ref="EY5:FK5"/>
    <mergeCell ref="EU6:FE6"/>
    <mergeCell ref="FB9:FN9"/>
    <mergeCell ref="FB10:FN10"/>
    <mergeCell ref="FJ6:FT6"/>
    <mergeCell ref="A4:B4"/>
    <mergeCell ref="A1:B1"/>
    <mergeCell ref="A2:B2"/>
    <mergeCell ref="A3:B3"/>
    <mergeCell ref="E6:Q6"/>
    <mergeCell ref="C7:J7"/>
    <mergeCell ref="K7:W7"/>
    <mergeCell ref="H5:J5"/>
    <mergeCell ref="R6:AD6"/>
    <mergeCell ref="W5:AK5"/>
    <mergeCell ref="AJ6:AV6"/>
    <mergeCell ref="Z7:AQ7"/>
    <mergeCell ref="AM5:AO5"/>
    <mergeCell ref="AU5:BE5"/>
    <mergeCell ref="BA6:BM6"/>
    <mergeCell ref="C1:AG1"/>
    <mergeCell ref="BG5:BQ5"/>
    <mergeCell ref="BO7:BQ7"/>
    <mergeCell ref="LY1:NC1"/>
    <mergeCell ref="AH1:BI1"/>
    <mergeCell ref="BJ1:CN1"/>
    <mergeCell ref="JP1:KT1"/>
    <mergeCell ref="KU1:LX1"/>
    <mergeCell ref="CO1:DR1"/>
    <mergeCell ref="DS1:EW1"/>
    <mergeCell ref="EX1:GA1"/>
    <mergeCell ref="GB1:HF1"/>
    <mergeCell ref="HG1:IK1"/>
    <mergeCell ref="IL1:JO1"/>
    <mergeCell ref="FE12:FG12"/>
    <mergeCell ref="FB11:FN11"/>
    <mergeCell ref="BU14:CM14"/>
    <mergeCell ref="BU13:CM13"/>
    <mergeCell ref="BU11:CB11"/>
    <mergeCell ref="A27:A31"/>
    <mergeCell ref="A16:A18"/>
    <mergeCell ref="A19:A22"/>
    <mergeCell ref="A23:A26"/>
    <mergeCell ref="AS9:AZ9"/>
    <mergeCell ref="AS10:BC10"/>
    <mergeCell ref="BA12:BB12"/>
    <mergeCell ref="BB13:BC13"/>
    <mergeCell ref="AS11:AY11"/>
    <mergeCell ref="BU9:CK9"/>
    <mergeCell ref="BU10:CE10"/>
    <mergeCell ref="CE12:CM12"/>
    <mergeCell ref="A5:A15"/>
    <mergeCell ref="Y8:AI8"/>
    <mergeCell ref="BU15:CB15"/>
    <mergeCell ref="CB7:CN7"/>
    <mergeCell ref="BL8:BX8"/>
    <mergeCell ref="CG6:CQ6"/>
    <mergeCell ref="CN8:CZ8"/>
    <mergeCell ref="CP5:DB5"/>
    <mergeCell ref="CV6:CX6"/>
    <mergeCell ref="CR7:DB7"/>
    <mergeCell ref="IO7:IU7"/>
    <mergeCell ref="KY18:LF18"/>
    <mergeCell ref="HT12:IF12"/>
    <mergeCell ref="IG12:IP12"/>
    <mergeCell ref="IG13:IP13"/>
    <mergeCell ref="JC11:JI11"/>
    <mergeCell ref="IR9:IT9"/>
    <mergeCell ref="IV9:JF9"/>
    <mergeCell ref="JB10:JL10"/>
    <mergeCell ref="JG9:JS9"/>
    <mergeCell ref="JY11:KI11"/>
    <mergeCell ref="JP10:KB10"/>
    <mergeCell ref="KE9:KQ9"/>
    <mergeCell ref="JU9:JW9"/>
    <mergeCell ref="IG11:IP11"/>
    <mergeCell ref="KY13:LM13"/>
    <mergeCell ref="KY14:LM14"/>
    <mergeCell ref="KY12:LM12"/>
    <mergeCell ref="KY15:LM15"/>
    <mergeCell ref="IG10:IP10"/>
    <mergeCell ref="IG9:IP9"/>
    <mergeCell ref="LF11:LP11"/>
    <mergeCell ref="FT7:GA7"/>
    <mergeCell ref="KW7:LI7"/>
    <mergeCell ref="LB6:LD6"/>
    <mergeCell ref="KT6:KX6"/>
    <mergeCell ref="KJ7:KS7"/>
    <mergeCell ref="KR8:LB8"/>
    <mergeCell ref="MH8:MN8"/>
    <mergeCell ref="MO11:NC11"/>
    <mergeCell ref="MO12:NC12"/>
    <mergeCell ref="GB11:GN11"/>
    <mergeCell ref="GD10:GF10"/>
    <mergeCell ref="HC9:HM9"/>
    <mergeCell ref="GJ8:GX8"/>
    <mergeCell ref="LR11:MD11"/>
    <mergeCell ref="KE8:KQ8"/>
    <mergeCell ref="MA6:MM6"/>
    <mergeCell ref="MF7:MH7"/>
    <mergeCell ref="GR11:HD11"/>
    <mergeCell ref="JK6:JU6"/>
    <mergeCell ref="JK7:JU7"/>
    <mergeCell ref="JK8:JU8"/>
    <mergeCell ref="KJ6:KS6"/>
    <mergeCell ref="GJ10:GQ10"/>
    <mergeCell ref="HZ7:IJ7"/>
    <mergeCell ref="MO13:NC13"/>
    <mergeCell ref="MO14:NC14"/>
    <mergeCell ref="MV5:NH5"/>
    <mergeCell ref="JB6:JE6"/>
    <mergeCell ref="KY16:LM16"/>
    <mergeCell ref="KY17:LM17"/>
    <mergeCell ref="JK5:JU5"/>
    <mergeCell ref="KE5:KJ5"/>
    <mergeCell ref="KK5:KW5"/>
    <mergeCell ref="KY5:LH5"/>
    <mergeCell ref="NB10:NK10"/>
    <mergeCell ref="MW8:NK8"/>
  </mergeCells>
  <conditionalFormatting sqref="C4:NC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1624-C4B8-45F4-9EB8-672EA72263FE}">
  <dimension ref="A1:NH41"/>
  <sheetViews>
    <sheetView tabSelected="1" workbookViewId="0">
      <pane xSplit="2" ySplit="4" topLeftCell="BK5" activePane="bottomRight" state="frozen"/>
      <selection pane="bottomRight" activeCell="EY15" sqref="EY15"/>
      <selection pane="bottomLeft"/>
      <selection pane="topRight"/>
    </sheetView>
  </sheetViews>
  <sheetFormatPr defaultRowHeight="15"/>
  <cols>
    <col min="2" max="2" width="3.28515625" bestFit="1" customWidth="1"/>
    <col min="3" max="153" width="6.140625" customWidth="1"/>
    <col min="154" max="154" width="6.28515625" customWidth="1"/>
    <col min="155" max="365" width="6.140625" customWidth="1"/>
    <col min="366" max="366" width="6.28515625" customWidth="1"/>
    <col min="367" max="372" width="6.42578125" customWidth="1"/>
  </cols>
  <sheetData>
    <row r="1" spans="1:372">
      <c r="A1" s="160">
        <f ca="1">TODAY()</f>
        <v>46121</v>
      </c>
      <c r="B1" s="161"/>
      <c r="C1" s="141" t="s">
        <v>378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3"/>
      <c r="AH1" s="150" t="s">
        <v>379</v>
      </c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51"/>
      <c r="BJ1" s="162" t="s">
        <v>380</v>
      </c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51"/>
      <c r="CO1" s="162" t="s">
        <v>381</v>
      </c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3"/>
      <c r="DS1" s="150" t="s">
        <v>382</v>
      </c>
      <c r="DT1" s="142"/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3"/>
      <c r="EX1" s="150" t="s">
        <v>383</v>
      </c>
      <c r="EY1" s="142"/>
      <c r="EZ1" s="142"/>
      <c r="FA1" s="142"/>
      <c r="FB1" s="142"/>
      <c r="FC1" s="142"/>
      <c r="FD1" s="142"/>
      <c r="FE1" s="142"/>
      <c r="FF1" s="142"/>
      <c r="FG1" s="142"/>
      <c r="FH1" s="142"/>
      <c r="FI1" s="142"/>
      <c r="FJ1" s="142"/>
      <c r="FK1" s="142"/>
      <c r="FL1" s="142"/>
      <c r="FM1" s="142"/>
      <c r="FN1" s="142"/>
      <c r="FO1" s="142"/>
      <c r="FP1" s="142"/>
      <c r="FQ1" s="142"/>
      <c r="FR1" s="142"/>
      <c r="FS1" s="142"/>
      <c r="FT1" s="142"/>
      <c r="FU1" s="142"/>
      <c r="FV1" s="142"/>
      <c r="FW1" s="142"/>
      <c r="FX1" s="142"/>
      <c r="FY1" s="142"/>
      <c r="FZ1" s="142"/>
      <c r="GA1" s="143"/>
      <c r="GB1" s="150" t="s">
        <v>384</v>
      </c>
      <c r="GC1" s="142"/>
      <c r="GD1" s="142"/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GR1" s="142"/>
      <c r="GS1" s="142"/>
      <c r="GT1" s="142"/>
      <c r="GU1" s="142"/>
      <c r="GV1" s="142"/>
      <c r="GW1" s="142"/>
      <c r="GX1" s="142"/>
      <c r="GY1" s="142"/>
      <c r="GZ1" s="142"/>
      <c r="HA1" s="142"/>
      <c r="HB1" s="142"/>
      <c r="HC1" s="142"/>
      <c r="HD1" s="142"/>
      <c r="HE1" s="142"/>
      <c r="HF1" s="143"/>
      <c r="HG1" s="150" t="s">
        <v>385</v>
      </c>
      <c r="HH1" s="142"/>
      <c r="HI1" s="142"/>
      <c r="HJ1" s="142"/>
      <c r="HK1" s="142"/>
      <c r="HL1" s="142"/>
      <c r="HM1" s="142"/>
      <c r="HN1" s="142"/>
      <c r="HO1" s="142"/>
      <c r="HP1" s="142"/>
      <c r="HQ1" s="142"/>
      <c r="HR1" s="142"/>
      <c r="HS1" s="142"/>
      <c r="HT1" s="142"/>
      <c r="HU1" s="142"/>
      <c r="HV1" s="142"/>
      <c r="HW1" s="142"/>
      <c r="HX1" s="142"/>
      <c r="HY1" s="142"/>
      <c r="HZ1" s="142"/>
      <c r="IA1" s="142"/>
      <c r="IB1" s="142"/>
      <c r="IC1" s="142"/>
      <c r="ID1" s="142"/>
      <c r="IE1" s="142"/>
      <c r="IF1" s="142"/>
      <c r="IG1" s="142"/>
      <c r="IH1" s="142"/>
      <c r="II1" s="142"/>
      <c r="IJ1" s="142"/>
      <c r="IK1" s="143"/>
      <c r="IL1" s="150" t="s">
        <v>386</v>
      </c>
      <c r="IM1" s="142"/>
      <c r="IN1" s="142"/>
      <c r="IO1" s="142"/>
      <c r="IP1" s="142"/>
      <c r="IQ1" s="142"/>
      <c r="IR1" s="142"/>
      <c r="IS1" s="142"/>
      <c r="IT1" s="142"/>
      <c r="IU1" s="142"/>
      <c r="IV1" s="142"/>
      <c r="IW1" s="142"/>
      <c r="IX1" s="142"/>
      <c r="IY1" s="142"/>
      <c r="IZ1" s="142"/>
      <c r="JA1" s="142"/>
      <c r="JB1" s="142"/>
      <c r="JC1" s="142"/>
      <c r="JD1" s="142"/>
      <c r="JE1" s="142"/>
      <c r="JF1" s="142"/>
      <c r="JG1" s="142"/>
      <c r="JH1" s="142"/>
      <c r="JI1" s="142"/>
      <c r="JJ1" s="142"/>
      <c r="JK1" s="142"/>
      <c r="JL1" s="142"/>
      <c r="JM1" s="142"/>
      <c r="JN1" s="142"/>
      <c r="JO1" s="143"/>
      <c r="JP1" s="150" t="s">
        <v>387</v>
      </c>
      <c r="JQ1" s="142"/>
      <c r="JR1" s="142"/>
      <c r="JS1" s="142"/>
      <c r="JT1" s="142"/>
      <c r="JU1" s="142"/>
      <c r="JV1" s="142"/>
      <c r="JW1" s="142"/>
      <c r="JX1" s="142"/>
      <c r="JY1" s="142"/>
      <c r="JZ1" s="142"/>
      <c r="KA1" s="142"/>
      <c r="KB1" s="142"/>
      <c r="KC1" s="142"/>
      <c r="KD1" s="142"/>
      <c r="KE1" s="142"/>
      <c r="KF1" s="142"/>
      <c r="KG1" s="142"/>
      <c r="KH1" s="142"/>
      <c r="KI1" s="142"/>
      <c r="KJ1" s="142"/>
      <c r="KK1" s="142"/>
      <c r="KL1" s="142"/>
      <c r="KM1" s="142"/>
      <c r="KN1" s="142"/>
      <c r="KO1" s="142"/>
      <c r="KP1" s="142"/>
      <c r="KQ1" s="142"/>
      <c r="KR1" s="142"/>
      <c r="KS1" s="142"/>
      <c r="KT1" s="143"/>
      <c r="KU1" s="150" t="s">
        <v>388</v>
      </c>
      <c r="KV1" s="142"/>
      <c r="KW1" s="142"/>
      <c r="KX1" s="142"/>
      <c r="KY1" s="142"/>
      <c r="KZ1" s="142"/>
      <c r="LA1" s="142"/>
      <c r="LB1" s="142"/>
      <c r="LC1" s="142"/>
      <c r="LD1" s="142"/>
      <c r="LE1" s="142"/>
      <c r="LF1" s="142"/>
      <c r="LG1" s="142"/>
      <c r="LH1" s="142"/>
      <c r="LI1" s="142"/>
      <c r="LJ1" s="142"/>
      <c r="LK1" s="142"/>
      <c r="LL1" s="142"/>
      <c r="LM1" s="142"/>
      <c r="LN1" s="142"/>
      <c r="LO1" s="142"/>
      <c r="LP1" s="142"/>
      <c r="LQ1" s="142"/>
      <c r="LR1" s="142"/>
      <c r="LS1" s="142"/>
      <c r="LT1" s="142"/>
      <c r="LU1" s="142"/>
      <c r="LV1" s="142"/>
      <c r="LW1" s="142"/>
      <c r="LX1" s="143"/>
      <c r="LY1" s="152" t="s">
        <v>389</v>
      </c>
      <c r="LZ1" s="153"/>
      <c r="MA1" s="153"/>
      <c r="MB1" s="153"/>
      <c r="MC1" s="153"/>
      <c r="MD1" s="153"/>
      <c r="ME1" s="153"/>
      <c r="MF1" s="153"/>
      <c r="MG1" s="153"/>
      <c r="MH1" s="153"/>
      <c r="MI1" s="153"/>
      <c r="MJ1" s="153"/>
      <c r="MK1" s="153"/>
      <c r="ML1" s="153"/>
      <c r="MM1" s="153"/>
      <c r="MN1" s="153"/>
      <c r="MO1" s="153"/>
      <c r="MP1" s="153"/>
      <c r="MQ1" s="153"/>
      <c r="MR1" s="153"/>
      <c r="MS1" s="153"/>
      <c r="MT1" s="153"/>
      <c r="MU1" s="153"/>
      <c r="MV1" s="153"/>
      <c r="MW1" s="153"/>
      <c r="MX1" s="153"/>
      <c r="MY1" s="153"/>
      <c r="MZ1" s="153"/>
      <c r="NA1" s="153"/>
      <c r="NB1" s="153"/>
      <c r="NC1" s="153"/>
    </row>
    <row r="2" spans="1:372">
      <c r="A2" s="154">
        <f>SUM(C4:NC4)</f>
        <v>69296</v>
      </c>
      <c r="B2" s="155"/>
      <c r="C2" s="96">
        <v>46023</v>
      </c>
      <c r="D2" s="96">
        <v>46024</v>
      </c>
      <c r="E2" s="96">
        <v>46025</v>
      </c>
      <c r="F2" s="96">
        <v>46026</v>
      </c>
      <c r="G2" s="96">
        <v>46027</v>
      </c>
      <c r="H2" s="96">
        <v>46028</v>
      </c>
      <c r="I2" s="96">
        <v>46029</v>
      </c>
      <c r="J2" s="96">
        <v>46030</v>
      </c>
      <c r="K2" s="96">
        <v>46031</v>
      </c>
      <c r="L2" s="96">
        <v>46032</v>
      </c>
      <c r="M2" s="96">
        <v>46033</v>
      </c>
      <c r="N2" s="96">
        <v>46034</v>
      </c>
      <c r="O2" s="96">
        <v>46035</v>
      </c>
      <c r="P2" s="97">
        <v>46036</v>
      </c>
      <c r="Q2" s="96">
        <v>46037</v>
      </c>
      <c r="R2" s="96">
        <v>46038</v>
      </c>
      <c r="S2" s="96">
        <v>46039</v>
      </c>
      <c r="T2" s="96">
        <v>46040</v>
      </c>
      <c r="U2" s="96">
        <v>46041</v>
      </c>
      <c r="V2" s="96">
        <v>46042</v>
      </c>
      <c r="W2" s="96">
        <v>46043</v>
      </c>
      <c r="X2" s="96">
        <v>46044</v>
      </c>
      <c r="Y2" s="96">
        <v>46045</v>
      </c>
      <c r="Z2" s="96">
        <v>46046</v>
      </c>
      <c r="AA2" s="96">
        <v>46047</v>
      </c>
      <c r="AB2" s="96">
        <v>46048</v>
      </c>
      <c r="AC2" s="96">
        <v>46049</v>
      </c>
      <c r="AD2" s="97">
        <v>46050</v>
      </c>
      <c r="AE2" s="96">
        <v>46051</v>
      </c>
      <c r="AF2" s="96">
        <v>46052</v>
      </c>
      <c r="AG2" s="96">
        <v>46053</v>
      </c>
      <c r="AH2" s="96">
        <v>46054</v>
      </c>
      <c r="AI2" s="96">
        <v>46055</v>
      </c>
      <c r="AJ2" s="96">
        <v>46056</v>
      </c>
      <c r="AK2" s="96">
        <v>46057</v>
      </c>
      <c r="AL2" s="96">
        <v>46058</v>
      </c>
      <c r="AM2" s="96">
        <v>46059</v>
      </c>
      <c r="AN2" s="96">
        <v>46060</v>
      </c>
      <c r="AO2" s="96">
        <v>46061</v>
      </c>
      <c r="AP2" s="96">
        <v>46062</v>
      </c>
      <c r="AQ2" s="96">
        <v>46063</v>
      </c>
      <c r="AR2" s="97">
        <v>46064</v>
      </c>
      <c r="AS2" s="96">
        <v>46065</v>
      </c>
      <c r="AT2" s="96">
        <v>46066</v>
      </c>
      <c r="AU2" s="96">
        <v>46067</v>
      </c>
      <c r="AV2" s="96">
        <v>46068</v>
      </c>
      <c r="AW2" s="96">
        <v>46069</v>
      </c>
      <c r="AX2" s="105">
        <v>46070</v>
      </c>
      <c r="AY2" s="96">
        <v>46071</v>
      </c>
      <c r="AZ2" s="96">
        <v>46072</v>
      </c>
      <c r="BA2" s="96">
        <v>46073</v>
      </c>
      <c r="BB2" s="96">
        <v>46074</v>
      </c>
      <c r="BC2" s="96">
        <v>46075</v>
      </c>
      <c r="BD2" s="96">
        <v>46076</v>
      </c>
      <c r="BE2" s="96">
        <v>46077</v>
      </c>
      <c r="BF2" s="96">
        <v>46078</v>
      </c>
      <c r="BG2" s="97">
        <v>46079</v>
      </c>
      <c r="BH2" s="96">
        <v>46080</v>
      </c>
      <c r="BI2" s="96">
        <v>46081</v>
      </c>
      <c r="BJ2" s="96">
        <v>46082</v>
      </c>
      <c r="BK2" s="96">
        <v>46083</v>
      </c>
      <c r="BL2" s="96">
        <v>46084</v>
      </c>
      <c r="BM2" s="97">
        <v>46085</v>
      </c>
      <c r="BN2" s="96">
        <v>46086</v>
      </c>
      <c r="BO2" s="96">
        <v>46087</v>
      </c>
      <c r="BP2" s="96">
        <v>46088</v>
      </c>
      <c r="BQ2" s="96">
        <v>46089</v>
      </c>
      <c r="BR2" s="96">
        <v>46090</v>
      </c>
      <c r="BS2" s="96">
        <v>46091</v>
      </c>
      <c r="BT2" s="96">
        <v>46092</v>
      </c>
      <c r="BU2" s="96">
        <v>46093</v>
      </c>
      <c r="BV2" s="96">
        <v>46094</v>
      </c>
      <c r="BW2" s="96">
        <v>46095</v>
      </c>
      <c r="BX2" s="96">
        <v>46096</v>
      </c>
      <c r="BY2" s="96">
        <v>46097</v>
      </c>
      <c r="BZ2" s="96">
        <v>46098</v>
      </c>
      <c r="CA2" s="97">
        <v>46099</v>
      </c>
      <c r="CB2" s="96">
        <v>46100</v>
      </c>
      <c r="CC2" s="96">
        <v>46101</v>
      </c>
      <c r="CD2" s="96">
        <v>46102</v>
      </c>
      <c r="CE2" s="96">
        <v>46103</v>
      </c>
      <c r="CF2" s="96">
        <v>46104</v>
      </c>
      <c r="CG2" s="96">
        <v>46105</v>
      </c>
      <c r="CH2" s="96">
        <v>46106</v>
      </c>
      <c r="CI2" s="96">
        <v>46107</v>
      </c>
      <c r="CJ2" s="96">
        <v>46108</v>
      </c>
      <c r="CK2" s="96">
        <v>46109</v>
      </c>
      <c r="CL2" s="96">
        <v>46110</v>
      </c>
      <c r="CM2" s="96">
        <v>46111</v>
      </c>
      <c r="CN2" s="96">
        <v>46112</v>
      </c>
      <c r="CO2" s="97">
        <v>46113</v>
      </c>
      <c r="CP2" s="96">
        <v>46114</v>
      </c>
      <c r="CQ2" s="96">
        <v>46115</v>
      </c>
      <c r="CR2" s="96">
        <v>46116</v>
      </c>
      <c r="CS2" s="96">
        <v>46117</v>
      </c>
      <c r="CT2" s="96">
        <v>46118</v>
      </c>
      <c r="CU2" s="96">
        <v>46119</v>
      </c>
      <c r="CV2" s="96">
        <v>46120</v>
      </c>
      <c r="CW2" s="96">
        <v>46121</v>
      </c>
      <c r="CX2" s="96">
        <v>46122</v>
      </c>
      <c r="CY2" s="96">
        <v>46123</v>
      </c>
      <c r="CZ2" s="96">
        <v>46124</v>
      </c>
      <c r="DA2" s="96">
        <v>46125</v>
      </c>
      <c r="DB2" s="106">
        <v>46126</v>
      </c>
      <c r="DC2" s="107">
        <v>46127</v>
      </c>
      <c r="DD2" s="106">
        <v>46128</v>
      </c>
      <c r="DE2" s="106">
        <v>46129</v>
      </c>
      <c r="DF2" s="96">
        <v>46130</v>
      </c>
      <c r="DG2" s="96">
        <v>46131</v>
      </c>
      <c r="DH2" s="96">
        <v>46132</v>
      </c>
      <c r="DI2" s="96">
        <v>46133</v>
      </c>
      <c r="DJ2" s="97">
        <v>46134</v>
      </c>
      <c r="DK2" s="96">
        <v>46135</v>
      </c>
      <c r="DL2" s="96">
        <v>46136</v>
      </c>
      <c r="DM2" s="96">
        <v>46137</v>
      </c>
      <c r="DN2" s="105">
        <v>46138</v>
      </c>
      <c r="DO2" s="96">
        <v>46139</v>
      </c>
      <c r="DP2" s="96">
        <v>46140</v>
      </c>
      <c r="DQ2" s="96">
        <v>46141</v>
      </c>
      <c r="DR2" s="105">
        <v>46142</v>
      </c>
      <c r="DS2" s="105">
        <v>46143</v>
      </c>
      <c r="DT2" s="96">
        <v>46144</v>
      </c>
      <c r="DU2" s="96">
        <v>46145</v>
      </c>
      <c r="DV2" s="96">
        <v>46146</v>
      </c>
      <c r="DW2" s="96">
        <v>46147</v>
      </c>
      <c r="DX2" s="96">
        <v>46148</v>
      </c>
      <c r="DY2" s="96">
        <v>46149</v>
      </c>
      <c r="DZ2" s="96">
        <v>46150</v>
      </c>
      <c r="EA2" s="96">
        <v>46151</v>
      </c>
      <c r="EB2" s="96">
        <v>46152</v>
      </c>
      <c r="EC2" s="96">
        <v>46153</v>
      </c>
      <c r="ED2" s="96">
        <v>46154</v>
      </c>
      <c r="EE2" s="96">
        <v>46155</v>
      </c>
      <c r="EF2" s="96">
        <v>46156</v>
      </c>
      <c r="EG2" s="96">
        <v>46157</v>
      </c>
      <c r="EH2" s="96">
        <v>46158</v>
      </c>
      <c r="EI2" s="96">
        <v>46159</v>
      </c>
      <c r="EJ2" s="96">
        <v>46160</v>
      </c>
      <c r="EK2" s="96">
        <v>46161</v>
      </c>
      <c r="EL2" s="96">
        <v>46162</v>
      </c>
      <c r="EM2" s="96">
        <v>46163</v>
      </c>
      <c r="EN2" s="96">
        <v>46164</v>
      </c>
      <c r="EO2" s="96">
        <v>46165</v>
      </c>
      <c r="EP2" s="96">
        <v>46166</v>
      </c>
      <c r="EQ2" s="96">
        <v>46167</v>
      </c>
      <c r="ER2" s="96">
        <v>46168</v>
      </c>
      <c r="ES2" s="96">
        <v>46169</v>
      </c>
      <c r="ET2" s="96">
        <v>46170</v>
      </c>
      <c r="EU2" s="96">
        <v>46171</v>
      </c>
      <c r="EV2" s="96">
        <v>46172</v>
      </c>
      <c r="EW2" s="96">
        <v>46173</v>
      </c>
      <c r="EX2" s="96">
        <v>46174</v>
      </c>
      <c r="EY2" s="96">
        <v>46175</v>
      </c>
      <c r="EZ2" s="96">
        <v>46176</v>
      </c>
      <c r="FA2" s="96">
        <v>46177</v>
      </c>
      <c r="FB2" s="96">
        <v>46178</v>
      </c>
      <c r="FC2" s="96">
        <v>46179</v>
      </c>
      <c r="FD2" s="96">
        <v>46180</v>
      </c>
      <c r="FE2" s="96">
        <v>46181</v>
      </c>
      <c r="FF2" s="96">
        <v>46182</v>
      </c>
      <c r="FG2" s="96">
        <v>46183</v>
      </c>
      <c r="FH2" s="96">
        <v>46184</v>
      </c>
      <c r="FI2" s="96">
        <v>46185</v>
      </c>
      <c r="FJ2" s="96">
        <v>46186</v>
      </c>
      <c r="FK2" s="96">
        <v>46187</v>
      </c>
      <c r="FL2" s="96">
        <v>46188</v>
      </c>
      <c r="FM2" s="96">
        <v>46189</v>
      </c>
      <c r="FN2" s="96">
        <v>46190</v>
      </c>
      <c r="FO2" s="96">
        <v>46191</v>
      </c>
      <c r="FP2" s="105">
        <v>46192</v>
      </c>
      <c r="FQ2" s="96">
        <v>46193</v>
      </c>
      <c r="FR2" s="96">
        <v>46194</v>
      </c>
      <c r="FS2" s="96">
        <v>46195</v>
      </c>
      <c r="FT2" s="96">
        <v>46196</v>
      </c>
      <c r="FU2" s="96">
        <v>46197</v>
      </c>
      <c r="FV2" s="96">
        <v>46198</v>
      </c>
      <c r="FW2" s="96">
        <v>46199</v>
      </c>
      <c r="FX2" s="96">
        <v>46200</v>
      </c>
      <c r="FY2" s="96">
        <v>46201</v>
      </c>
      <c r="FZ2" s="96">
        <v>46202</v>
      </c>
      <c r="GA2" s="96">
        <v>46203</v>
      </c>
      <c r="GB2" s="96">
        <v>46204</v>
      </c>
      <c r="GC2" s="96">
        <v>46205</v>
      </c>
      <c r="GD2" s="96">
        <v>46206</v>
      </c>
      <c r="GE2" s="96">
        <v>46207</v>
      </c>
      <c r="GF2" s="96">
        <v>46208</v>
      </c>
      <c r="GG2" s="96">
        <v>46209</v>
      </c>
      <c r="GH2" s="96">
        <v>46210</v>
      </c>
      <c r="GI2" s="96">
        <v>46211</v>
      </c>
      <c r="GJ2" s="96">
        <v>46212</v>
      </c>
      <c r="GK2" s="96">
        <v>46213</v>
      </c>
      <c r="GL2" s="96">
        <v>46214</v>
      </c>
      <c r="GM2" s="96">
        <v>46215</v>
      </c>
      <c r="GN2" s="96">
        <v>46216</v>
      </c>
      <c r="GO2" s="96">
        <v>46217</v>
      </c>
      <c r="GP2" s="96">
        <v>46218</v>
      </c>
      <c r="GQ2" s="96">
        <v>46219</v>
      </c>
      <c r="GR2" s="96">
        <v>46220</v>
      </c>
      <c r="GS2" s="96">
        <v>46221</v>
      </c>
      <c r="GT2" s="96">
        <v>46222</v>
      </c>
      <c r="GU2" s="96">
        <v>46223</v>
      </c>
      <c r="GV2" s="96">
        <v>46224</v>
      </c>
      <c r="GW2" s="96">
        <v>46225</v>
      </c>
      <c r="GX2" s="96">
        <v>46226</v>
      </c>
      <c r="GY2" s="96">
        <v>46227</v>
      </c>
      <c r="GZ2" s="96">
        <v>46228</v>
      </c>
      <c r="HA2" s="96">
        <v>46229</v>
      </c>
      <c r="HB2" s="96">
        <v>46230</v>
      </c>
      <c r="HC2" s="96">
        <v>46231</v>
      </c>
      <c r="HD2" s="96">
        <v>46232</v>
      </c>
      <c r="HE2" s="96">
        <v>46233</v>
      </c>
      <c r="HF2" s="96">
        <v>46234</v>
      </c>
      <c r="HG2" s="96">
        <v>46235</v>
      </c>
      <c r="HH2" s="96">
        <v>46236</v>
      </c>
      <c r="HI2" s="96">
        <v>46237</v>
      </c>
      <c r="HJ2" s="96">
        <v>46238</v>
      </c>
      <c r="HK2" s="96">
        <v>46239</v>
      </c>
      <c r="HL2" s="96">
        <v>46240</v>
      </c>
      <c r="HM2" s="96">
        <v>46241</v>
      </c>
      <c r="HN2" s="96">
        <v>46242</v>
      </c>
      <c r="HO2" s="96">
        <v>46243</v>
      </c>
      <c r="HP2" s="96">
        <v>46244</v>
      </c>
      <c r="HQ2" s="96">
        <v>46245</v>
      </c>
      <c r="HR2" s="96">
        <v>46246</v>
      </c>
      <c r="HS2" s="96">
        <v>46247</v>
      </c>
      <c r="HT2" s="96">
        <v>46248</v>
      </c>
      <c r="HU2" s="96">
        <v>46249</v>
      </c>
      <c r="HV2" s="96">
        <v>46250</v>
      </c>
      <c r="HW2" s="96">
        <v>46251</v>
      </c>
      <c r="HX2" s="96">
        <v>46252</v>
      </c>
      <c r="HY2" s="96">
        <v>46253</v>
      </c>
      <c r="HZ2" s="96">
        <v>46254</v>
      </c>
      <c r="IA2" s="96">
        <v>46255</v>
      </c>
      <c r="IB2" s="96">
        <v>46256</v>
      </c>
      <c r="IC2" s="96">
        <v>46257</v>
      </c>
      <c r="ID2" s="96">
        <v>46258</v>
      </c>
      <c r="IE2" s="96">
        <v>46259</v>
      </c>
      <c r="IF2" s="96">
        <v>46260</v>
      </c>
      <c r="IG2" s="96">
        <v>46261</v>
      </c>
      <c r="IH2" s="96">
        <v>46262</v>
      </c>
      <c r="II2" s="96">
        <v>46263</v>
      </c>
      <c r="IJ2" s="96">
        <v>46264</v>
      </c>
      <c r="IK2" s="96">
        <v>46265</v>
      </c>
      <c r="IL2" s="96">
        <v>46266</v>
      </c>
      <c r="IM2" s="96">
        <v>46267</v>
      </c>
      <c r="IN2" s="96">
        <v>46268</v>
      </c>
      <c r="IO2" s="96">
        <v>46269</v>
      </c>
      <c r="IP2" s="96">
        <v>46270</v>
      </c>
      <c r="IQ2" s="96">
        <v>46271</v>
      </c>
      <c r="IR2" s="96">
        <v>46272</v>
      </c>
      <c r="IS2" s="96">
        <v>46273</v>
      </c>
      <c r="IT2" s="96">
        <v>46274</v>
      </c>
      <c r="IU2" s="96">
        <v>46275</v>
      </c>
      <c r="IV2" s="96">
        <v>46276</v>
      </c>
      <c r="IW2" s="96">
        <v>46277</v>
      </c>
      <c r="IX2" s="96">
        <v>46278</v>
      </c>
      <c r="IY2" s="96">
        <v>46279</v>
      </c>
      <c r="IZ2" s="96">
        <v>46280</v>
      </c>
      <c r="JA2" s="96">
        <v>46281</v>
      </c>
      <c r="JB2" s="96">
        <v>46282</v>
      </c>
      <c r="JC2" s="96">
        <v>46283</v>
      </c>
      <c r="JD2" s="96">
        <v>46284</v>
      </c>
      <c r="JE2" s="96">
        <v>46285</v>
      </c>
      <c r="JF2" s="96">
        <v>46286</v>
      </c>
      <c r="JG2" s="96">
        <v>46287</v>
      </c>
      <c r="JH2" s="96">
        <v>46288</v>
      </c>
      <c r="JI2" s="96">
        <v>46289</v>
      </c>
      <c r="JJ2" s="96">
        <v>46290</v>
      </c>
      <c r="JK2" s="96">
        <v>46291</v>
      </c>
      <c r="JL2" s="96">
        <v>46292</v>
      </c>
      <c r="JM2" s="96">
        <v>46293</v>
      </c>
      <c r="JN2" s="96">
        <v>46294</v>
      </c>
      <c r="JO2" s="96">
        <v>46295</v>
      </c>
      <c r="JP2" s="96">
        <v>46296</v>
      </c>
      <c r="JQ2" s="96">
        <v>46297</v>
      </c>
      <c r="JR2" s="96">
        <v>46298</v>
      </c>
      <c r="JS2" s="96">
        <v>46299</v>
      </c>
      <c r="JT2" s="96">
        <v>46300</v>
      </c>
      <c r="JU2" s="96">
        <v>46301</v>
      </c>
      <c r="JV2" s="96">
        <v>46302</v>
      </c>
      <c r="JW2" s="96">
        <v>46303</v>
      </c>
      <c r="JX2" s="96">
        <v>46304</v>
      </c>
      <c r="JY2" s="96">
        <v>46305</v>
      </c>
      <c r="JZ2" s="96">
        <v>46306</v>
      </c>
      <c r="KA2" s="96">
        <v>46307</v>
      </c>
      <c r="KB2" s="96">
        <v>46308</v>
      </c>
      <c r="KC2" s="96">
        <v>46309</v>
      </c>
      <c r="KD2" s="96">
        <v>46310</v>
      </c>
      <c r="KE2" s="96">
        <v>46311</v>
      </c>
      <c r="KF2" s="96">
        <v>46312</v>
      </c>
      <c r="KG2" s="96">
        <v>46313</v>
      </c>
      <c r="KH2" s="96">
        <v>46314</v>
      </c>
      <c r="KI2" s="96">
        <v>46315</v>
      </c>
      <c r="KJ2" s="96">
        <v>46316</v>
      </c>
      <c r="KK2" s="96">
        <v>46317</v>
      </c>
      <c r="KL2" s="96">
        <v>46318</v>
      </c>
      <c r="KM2" s="96">
        <v>46319</v>
      </c>
      <c r="KN2" s="96">
        <v>46320</v>
      </c>
      <c r="KO2" s="96">
        <v>46321</v>
      </c>
      <c r="KP2" s="96">
        <v>46322</v>
      </c>
      <c r="KQ2" s="96">
        <v>46323</v>
      </c>
      <c r="KR2" s="96">
        <v>46324</v>
      </c>
      <c r="KS2" s="96">
        <v>46325</v>
      </c>
      <c r="KT2" s="96">
        <v>46326</v>
      </c>
      <c r="KU2" s="96">
        <v>46327</v>
      </c>
      <c r="KV2" s="96">
        <v>46328</v>
      </c>
      <c r="KW2" s="96">
        <v>46329</v>
      </c>
      <c r="KX2" s="96">
        <v>46330</v>
      </c>
      <c r="KY2" s="96">
        <v>46331</v>
      </c>
      <c r="KZ2" s="96">
        <v>46332</v>
      </c>
      <c r="LA2" s="96">
        <v>46333</v>
      </c>
      <c r="LB2" s="96">
        <v>46334</v>
      </c>
      <c r="LC2" s="96">
        <v>46335</v>
      </c>
      <c r="LD2" s="96">
        <v>46336</v>
      </c>
      <c r="LE2" s="96">
        <v>46337</v>
      </c>
      <c r="LF2" s="96">
        <v>46338</v>
      </c>
      <c r="LG2" s="96">
        <v>46339</v>
      </c>
      <c r="LH2" s="96">
        <v>46340</v>
      </c>
      <c r="LI2" s="96">
        <v>46341</v>
      </c>
      <c r="LJ2" s="96">
        <v>46342</v>
      </c>
      <c r="LK2" s="96">
        <v>46343</v>
      </c>
      <c r="LL2" s="96">
        <v>46344</v>
      </c>
      <c r="LM2" s="96">
        <v>46345</v>
      </c>
      <c r="LN2" s="96">
        <v>46346</v>
      </c>
      <c r="LO2" s="96">
        <v>46347</v>
      </c>
      <c r="LP2" s="96">
        <v>46348</v>
      </c>
      <c r="LQ2" s="96">
        <v>46349</v>
      </c>
      <c r="LR2" s="105">
        <v>46350</v>
      </c>
      <c r="LS2" s="96">
        <v>46351</v>
      </c>
      <c r="LT2" s="96">
        <v>46352</v>
      </c>
      <c r="LU2" s="96">
        <v>46353</v>
      </c>
      <c r="LV2" s="96">
        <v>46354</v>
      </c>
      <c r="LW2" s="96">
        <v>46355</v>
      </c>
      <c r="LX2" s="96">
        <v>46356</v>
      </c>
      <c r="LY2" s="96">
        <v>46357</v>
      </c>
      <c r="LZ2" s="96">
        <v>46358</v>
      </c>
      <c r="MA2" s="96">
        <v>46359</v>
      </c>
      <c r="MB2" s="96">
        <v>46360</v>
      </c>
      <c r="MC2" s="96">
        <v>46361</v>
      </c>
      <c r="MD2" s="96">
        <v>46362</v>
      </c>
      <c r="ME2" s="96">
        <v>46363</v>
      </c>
      <c r="MF2" s="96">
        <v>46364</v>
      </c>
      <c r="MG2" s="96">
        <v>46365</v>
      </c>
      <c r="MH2" s="96">
        <v>46366</v>
      </c>
      <c r="MI2" s="96">
        <v>46367</v>
      </c>
      <c r="MJ2" s="96">
        <v>46368</v>
      </c>
      <c r="MK2" s="96">
        <v>46369</v>
      </c>
      <c r="ML2" s="96">
        <v>46370</v>
      </c>
      <c r="MM2" s="96">
        <v>46371</v>
      </c>
      <c r="MN2" s="96">
        <v>46372</v>
      </c>
      <c r="MO2" s="96">
        <v>46373</v>
      </c>
      <c r="MP2" s="96">
        <v>46374</v>
      </c>
      <c r="MQ2" s="96">
        <v>46375</v>
      </c>
      <c r="MR2" s="96">
        <v>46376</v>
      </c>
      <c r="MS2" s="96">
        <v>46377</v>
      </c>
      <c r="MT2" s="96">
        <v>46378</v>
      </c>
      <c r="MU2" s="96">
        <v>46379</v>
      </c>
      <c r="MV2" s="96">
        <v>46380</v>
      </c>
      <c r="MW2" s="96">
        <v>46381</v>
      </c>
      <c r="MX2" s="96">
        <v>46382</v>
      </c>
      <c r="MY2" s="96">
        <v>46383</v>
      </c>
      <c r="MZ2" s="96">
        <v>46384</v>
      </c>
      <c r="NA2" s="96">
        <v>46385</v>
      </c>
      <c r="NB2" s="96">
        <v>46386</v>
      </c>
      <c r="NC2" s="96">
        <v>46387</v>
      </c>
    </row>
    <row r="3" spans="1:372">
      <c r="A3" s="156">
        <f>A2/277547</f>
        <v>0.24967302835195482</v>
      </c>
      <c r="B3" s="157"/>
      <c r="C3" s="3">
        <v>5</v>
      </c>
      <c r="D3" s="3">
        <v>6</v>
      </c>
      <c r="E3" s="3">
        <v>7</v>
      </c>
      <c r="F3" s="3" t="s">
        <v>11</v>
      </c>
      <c r="G3" s="3">
        <v>2</v>
      </c>
      <c r="H3" s="3">
        <v>3</v>
      </c>
      <c r="I3" s="3">
        <v>4</v>
      </c>
      <c r="J3" s="3">
        <v>5</v>
      </c>
      <c r="K3" s="3">
        <v>6</v>
      </c>
      <c r="L3" s="3">
        <v>7</v>
      </c>
      <c r="M3" s="3" t="s">
        <v>11</v>
      </c>
      <c r="N3" s="3">
        <v>2</v>
      </c>
      <c r="O3" s="3">
        <v>3</v>
      </c>
      <c r="P3" s="3">
        <v>4</v>
      </c>
      <c r="Q3" s="3">
        <v>5</v>
      </c>
      <c r="R3" s="3">
        <v>6</v>
      </c>
      <c r="S3" s="3">
        <v>7</v>
      </c>
      <c r="T3" s="3" t="s">
        <v>11</v>
      </c>
      <c r="U3" s="3">
        <v>2</v>
      </c>
      <c r="V3" s="3">
        <v>3</v>
      </c>
      <c r="W3" s="3">
        <v>4</v>
      </c>
      <c r="X3" s="3">
        <v>5</v>
      </c>
      <c r="Y3" s="3">
        <v>6</v>
      </c>
      <c r="Z3" s="3">
        <v>7</v>
      </c>
      <c r="AA3" s="3" t="s">
        <v>11</v>
      </c>
      <c r="AB3" s="3">
        <v>2</v>
      </c>
      <c r="AC3" s="3">
        <v>3</v>
      </c>
      <c r="AD3" s="3">
        <v>4</v>
      </c>
      <c r="AE3" s="3">
        <v>5</v>
      </c>
      <c r="AF3" s="3">
        <v>6</v>
      </c>
      <c r="AG3" s="3">
        <v>7</v>
      </c>
      <c r="AH3" s="3" t="s">
        <v>11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3">
        <v>7</v>
      </c>
      <c r="AO3" s="3" t="s">
        <v>11</v>
      </c>
      <c r="AP3" s="3">
        <v>2</v>
      </c>
      <c r="AQ3" s="3">
        <v>3</v>
      </c>
      <c r="AR3" s="3">
        <v>4</v>
      </c>
      <c r="AS3" s="3">
        <v>5</v>
      </c>
      <c r="AT3" s="3">
        <v>6</v>
      </c>
      <c r="AU3" s="3">
        <v>7</v>
      </c>
      <c r="AV3" s="3" t="s">
        <v>11</v>
      </c>
      <c r="AW3" s="3">
        <v>2</v>
      </c>
      <c r="AX3" s="3">
        <v>3</v>
      </c>
      <c r="AY3" s="3">
        <v>4</v>
      </c>
      <c r="AZ3" s="3">
        <v>5</v>
      </c>
      <c r="BA3" s="3">
        <v>6</v>
      </c>
      <c r="BB3" s="3">
        <v>7</v>
      </c>
      <c r="BC3" s="3" t="s">
        <v>11</v>
      </c>
      <c r="BD3" s="3">
        <v>2</v>
      </c>
      <c r="BE3" s="3">
        <v>3</v>
      </c>
      <c r="BF3" s="3">
        <v>4</v>
      </c>
      <c r="BG3" s="3">
        <v>5</v>
      </c>
      <c r="BH3" s="3">
        <v>6</v>
      </c>
      <c r="BI3" s="3">
        <v>7</v>
      </c>
      <c r="BJ3" s="3" t="s">
        <v>11</v>
      </c>
      <c r="BK3" s="3">
        <v>2</v>
      </c>
      <c r="BL3" s="3">
        <v>3</v>
      </c>
      <c r="BM3" s="3">
        <v>4</v>
      </c>
      <c r="BN3" s="3">
        <v>5</v>
      </c>
      <c r="BO3" s="3">
        <v>6</v>
      </c>
      <c r="BP3" s="3">
        <v>7</v>
      </c>
      <c r="BQ3" s="3" t="s">
        <v>11</v>
      </c>
      <c r="BR3" s="3">
        <v>2</v>
      </c>
      <c r="BS3" s="3">
        <v>3</v>
      </c>
      <c r="BT3" s="3">
        <v>4</v>
      </c>
      <c r="BU3" s="3">
        <v>5</v>
      </c>
      <c r="BV3" s="3">
        <v>6</v>
      </c>
      <c r="BW3" s="3">
        <v>7</v>
      </c>
      <c r="BX3" s="3" t="s">
        <v>11</v>
      </c>
      <c r="BY3" s="3">
        <v>2</v>
      </c>
      <c r="BZ3" s="3">
        <v>3</v>
      </c>
      <c r="CA3" s="3">
        <v>4</v>
      </c>
      <c r="CB3" s="3">
        <v>5</v>
      </c>
      <c r="CC3" s="3">
        <v>6</v>
      </c>
      <c r="CD3" s="3">
        <v>7</v>
      </c>
      <c r="CE3" s="3" t="s">
        <v>11</v>
      </c>
      <c r="CF3" s="3">
        <v>2</v>
      </c>
      <c r="CG3" s="3">
        <v>3</v>
      </c>
      <c r="CH3" s="3">
        <v>4</v>
      </c>
      <c r="CI3" s="3">
        <v>5</v>
      </c>
      <c r="CJ3" s="3">
        <v>6</v>
      </c>
      <c r="CK3" s="3">
        <v>7</v>
      </c>
      <c r="CL3" s="3" t="s">
        <v>11</v>
      </c>
      <c r="CM3" s="3">
        <v>2</v>
      </c>
      <c r="CN3" s="3">
        <v>3</v>
      </c>
      <c r="CO3" s="3">
        <v>4</v>
      </c>
      <c r="CP3" s="3">
        <v>5</v>
      </c>
      <c r="CQ3" s="3">
        <v>6</v>
      </c>
      <c r="CR3" s="3">
        <v>7</v>
      </c>
      <c r="CS3" s="3" t="s">
        <v>11</v>
      </c>
      <c r="CT3" s="3">
        <v>2</v>
      </c>
      <c r="CU3" s="3">
        <v>3</v>
      </c>
      <c r="CV3" s="3">
        <v>4</v>
      </c>
      <c r="CW3" s="3">
        <v>5</v>
      </c>
      <c r="CX3" s="3">
        <v>6</v>
      </c>
      <c r="CY3" s="3">
        <v>7</v>
      </c>
      <c r="CZ3" s="3" t="s">
        <v>11</v>
      </c>
      <c r="DA3" s="3">
        <v>2</v>
      </c>
      <c r="DB3" s="3">
        <v>3</v>
      </c>
      <c r="DC3" s="3">
        <v>4</v>
      </c>
      <c r="DD3" s="3">
        <v>5</v>
      </c>
      <c r="DE3" s="3">
        <v>6</v>
      </c>
      <c r="DF3" s="3">
        <v>7</v>
      </c>
      <c r="DG3" s="3" t="s">
        <v>11</v>
      </c>
      <c r="DH3" s="3">
        <v>2</v>
      </c>
      <c r="DI3" s="3">
        <v>3</v>
      </c>
      <c r="DJ3" s="3">
        <v>4</v>
      </c>
      <c r="DK3" s="3">
        <v>5</v>
      </c>
      <c r="DL3" s="3">
        <v>6</v>
      </c>
      <c r="DM3" s="3">
        <v>7</v>
      </c>
      <c r="DN3" s="3" t="s">
        <v>11</v>
      </c>
      <c r="DO3" s="3">
        <v>2</v>
      </c>
      <c r="DP3" s="3">
        <v>3</v>
      </c>
      <c r="DQ3" s="3">
        <v>4</v>
      </c>
      <c r="DR3" s="3">
        <v>5</v>
      </c>
      <c r="DS3" s="3">
        <v>6</v>
      </c>
      <c r="DT3" s="3">
        <v>7</v>
      </c>
      <c r="DU3" s="3" t="s">
        <v>11</v>
      </c>
      <c r="DV3" s="3">
        <v>2</v>
      </c>
      <c r="DW3" s="3">
        <v>3</v>
      </c>
      <c r="DX3" s="3">
        <v>4</v>
      </c>
      <c r="DY3" s="3">
        <v>5</v>
      </c>
      <c r="DZ3" s="3">
        <v>6</v>
      </c>
      <c r="EA3" s="3">
        <v>7</v>
      </c>
      <c r="EB3" s="3" t="s">
        <v>11</v>
      </c>
      <c r="EC3" s="3">
        <v>2</v>
      </c>
      <c r="ED3" s="3">
        <v>3</v>
      </c>
      <c r="EE3" s="3">
        <v>4</v>
      </c>
      <c r="EF3" s="3">
        <v>5</v>
      </c>
      <c r="EG3" s="3">
        <v>6</v>
      </c>
      <c r="EH3" s="3">
        <v>7</v>
      </c>
      <c r="EI3" s="3" t="s">
        <v>11</v>
      </c>
      <c r="EJ3" s="3">
        <v>2</v>
      </c>
      <c r="EK3" s="3">
        <v>3</v>
      </c>
      <c r="EL3" s="3">
        <v>4</v>
      </c>
      <c r="EM3" s="3">
        <v>5</v>
      </c>
      <c r="EN3" s="3">
        <v>6</v>
      </c>
      <c r="EO3" s="3">
        <v>7</v>
      </c>
      <c r="EP3" s="3" t="s">
        <v>11</v>
      </c>
      <c r="EQ3" s="3">
        <v>2</v>
      </c>
      <c r="ER3" s="3">
        <v>3</v>
      </c>
      <c r="ES3" s="3">
        <v>4</v>
      </c>
      <c r="ET3" s="3">
        <v>5</v>
      </c>
      <c r="EU3" s="3">
        <v>6</v>
      </c>
      <c r="EV3" s="3">
        <v>7</v>
      </c>
      <c r="EW3" s="3" t="s">
        <v>11</v>
      </c>
      <c r="EX3" s="3">
        <v>2</v>
      </c>
      <c r="EY3" s="3">
        <v>3</v>
      </c>
      <c r="EZ3" s="3">
        <v>4</v>
      </c>
      <c r="FA3" s="3">
        <v>5</v>
      </c>
      <c r="FB3" s="3">
        <v>6</v>
      </c>
      <c r="FC3" s="3">
        <v>7</v>
      </c>
      <c r="FD3" s="3" t="s">
        <v>11</v>
      </c>
      <c r="FE3" s="3">
        <v>2</v>
      </c>
      <c r="FF3" s="3">
        <v>3</v>
      </c>
      <c r="FG3" s="3">
        <v>4</v>
      </c>
      <c r="FH3" s="3">
        <v>5</v>
      </c>
      <c r="FI3" s="3">
        <v>6</v>
      </c>
      <c r="FJ3" s="3">
        <v>7</v>
      </c>
      <c r="FK3" s="3" t="s">
        <v>11</v>
      </c>
      <c r="FL3" s="3">
        <v>2</v>
      </c>
      <c r="FM3" s="3">
        <v>3</v>
      </c>
      <c r="FN3" s="3">
        <v>4</v>
      </c>
      <c r="FO3" s="3">
        <v>5</v>
      </c>
      <c r="FP3" s="3">
        <v>6</v>
      </c>
      <c r="FQ3" s="3">
        <v>7</v>
      </c>
      <c r="FR3" s="3" t="s">
        <v>11</v>
      </c>
      <c r="FS3" s="3">
        <v>2</v>
      </c>
      <c r="FT3" s="3">
        <v>3</v>
      </c>
      <c r="FU3" s="3">
        <v>4</v>
      </c>
      <c r="FV3" s="3">
        <v>5</v>
      </c>
      <c r="FW3" s="3">
        <v>6</v>
      </c>
      <c r="FX3" s="3">
        <v>7</v>
      </c>
      <c r="FY3" s="3" t="s">
        <v>11</v>
      </c>
      <c r="FZ3" s="3">
        <v>2</v>
      </c>
      <c r="GA3" s="3">
        <v>3</v>
      </c>
      <c r="GB3" s="3">
        <v>4</v>
      </c>
      <c r="GC3" s="3">
        <v>5</v>
      </c>
      <c r="GD3" s="3">
        <v>6</v>
      </c>
      <c r="GE3" s="3">
        <v>7</v>
      </c>
      <c r="GF3" s="3" t="s">
        <v>11</v>
      </c>
      <c r="GG3" s="3">
        <v>2</v>
      </c>
      <c r="GH3" s="3">
        <v>3</v>
      </c>
      <c r="GI3" s="3">
        <v>4</v>
      </c>
      <c r="GJ3" s="3">
        <v>5</v>
      </c>
      <c r="GK3" s="3">
        <v>6</v>
      </c>
      <c r="GL3" s="3">
        <v>7</v>
      </c>
      <c r="GM3" s="3" t="s">
        <v>11</v>
      </c>
      <c r="GN3" s="3">
        <v>2</v>
      </c>
      <c r="GO3" s="3">
        <v>3</v>
      </c>
      <c r="GP3" s="3">
        <v>4</v>
      </c>
      <c r="GQ3" s="3">
        <v>5</v>
      </c>
      <c r="GR3" s="3">
        <v>6</v>
      </c>
      <c r="GS3" s="3">
        <v>7</v>
      </c>
      <c r="GT3" s="3" t="s">
        <v>11</v>
      </c>
      <c r="GU3" s="3">
        <v>2</v>
      </c>
      <c r="GV3" s="3">
        <v>3</v>
      </c>
      <c r="GW3" s="3">
        <v>4</v>
      </c>
      <c r="GX3" s="3">
        <v>5</v>
      </c>
      <c r="GY3" s="3">
        <v>6</v>
      </c>
      <c r="GZ3" s="3">
        <v>7</v>
      </c>
      <c r="HA3" s="3" t="s">
        <v>11</v>
      </c>
      <c r="HB3" s="3">
        <v>2</v>
      </c>
      <c r="HC3" s="3">
        <v>3</v>
      </c>
      <c r="HD3" s="3">
        <v>4</v>
      </c>
      <c r="HE3" s="3">
        <v>5</v>
      </c>
      <c r="HF3" s="3">
        <v>6</v>
      </c>
      <c r="HG3" s="3">
        <v>7</v>
      </c>
      <c r="HH3" s="3" t="s">
        <v>11</v>
      </c>
      <c r="HI3" s="3">
        <v>2</v>
      </c>
      <c r="HJ3" s="3">
        <v>3</v>
      </c>
      <c r="HK3" s="3">
        <v>4</v>
      </c>
      <c r="HL3" s="3">
        <v>5</v>
      </c>
      <c r="HM3" s="3">
        <v>6</v>
      </c>
      <c r="HN3" s="3">
        <v>7</v>
      </c>
      <c r="HO3" s="3" t="s">
        <v>11</v>
      </c>
      <c r="HP3" s="3">
        <v>2</v>
      </c>
      <c r="HQ3" s="3">
        <v>3</v>
      </c>
      <c r="HR3" s="3">
        <v>4</v>
      </c>
      <c r="HS3" s="3">
        <v>5</v>
      </c>
      <c r="HT3" s="3">
        <v>6</v>
      </c>
      <c r="HU3" s="3">
        <v>7</v>
      </c>
      <c r="HV3" s="3" t="s">
        <v>11</v>
      </c>
      <c r="HW3" s="3">
        <v>2</v>
      </c>
      <c r="HX3" s="3">
        <v>3</v>
      </c>
      <c r="HY3" s="3">
        <v>4</v>
      </c>
      <c r="HZ3" s="3">
        <v>5</v>
      </c>
      <c r="IA3" s="3">
        <v>6</v>
      </c>
      <c r="IB3" s="3">
        <v>7</v>
      </c>
      <c r="IC3" s="3" t="s">
        <v>11</v>
      </c>
      <c r="ID3" s="3">
        <v>2</v>
      </c>
      <c r="IE3" s="3">
        <v>3</v>
      </c>
      <c r="IF3" s="3">
        <v>4</v>
      </c>
      <c r="IG3" s="3">
        <v>5</v>
      </c>
      <c r="IH3" s="3">
        <v>6</v>
      </c>
      <c r="II3" s="3">
        <v>7</v>
      </c>
      <c r="IJ3" s="3" t="s">
        <v>11</v>
      </c>
      <c r="IK3" s="3">
        <v>2</v>
      </c>
      <c r="IL3" s="3">
        <v>3</v>
      </c>
      <c r="IM3" s="3">
        <v>4</v>
      </c>
      <c r="IN3" s="3">
        <v>5</v>
      </c>
      <c r="IO3" s="3">
        <v>6</v>
      </c>
      <c r="IP3" s="3">
        <v>7</v>
      </c>
      <c r="IQ3" s="3" t="s">
        <v>11</v>
      </c>
      <c r="IR3" s="3">
        <v>2</v>
      </c>
      <c r="IS3" s="3">
        <v>3</v>
      </c>
      <c r="IT3" s="3">
        <v>4</v>
      </c>
      <c r="IU3" s="3">
        <v>5</v>
      </c>
      <c r="IV3" s="3">
        <v>6</v>
      </c>
      <c r="IW3" s="3">
        <v>7</v>
      </c>
      <c r="IX3" s="3" t="s">
        <v>11</v>
      </c>
      <c r="IY3" s="3">
        <v>2</v>
      </c>
      <c r="IZ3" s="3">
        <v>3</v>
      </c>
      <c r="JA3" s="3">
        <v>4</v>
      </c>
      <c r="JB3" s="3">
        <v>5</v>
      </c>
      <c r="JC3" s="3">
        <v>6</v>
      </c>
      <c r="JD3" s="3">
        <v>7</v>
      </c>
      <c r="JE3" s="3" t="s">
        <v>11</v>
      </c>
      <c r="JF3" s="3">
        <v>2</v>
      </c>
      <c r="JG3" s="3">
        <v>3</v>
      </c>
      <c r="JH3" s="3">
        <v>4</v>
      </c>
      <c r="JI3" s="3">
        <v>5</v>
      </c>
      <c r="JJ3" s="3">
        <v>6</v>
      </c>
      <c r="JK3" s="3">
        <v>7</v>
      </c>
      <c r="JL3" s="3" t="s">
        <v>11</v>
      </c>
      <c r="JM3" s="3">
        <v>2</v>
      </c>
      <c r="JN3" s="3">
        <v>3</v>
      </c>
      <c r="JO3" s="3">
        <v>4</v>
      </c>
      <c r="JP3" s="3">
        <v>5</v>
      </c>
      <c r="JQ3" s="3">
        <v>6</v>
      </c>
      <c r="JR3" s="3">
        <v>7</v>
      </c>
      <c r="JS3" s="3" t="s">
        <v>11</v>
      </c>
      <c r="JT3" s="3">
        <v>2</v>
      </c>
      <c r="JU3" s="3">
        <v>3</v>
      </c>
      <c r="JV3" s="3">
        <v>4</v>
      </c>
      <c r="JW3" s="3">
        <v>5</v>
      </c>
      <c r="JX3" s="3">
        <v>6</v>
      </c>
      <c r="JY3" s="3">
        <v>7</v>
      </c>
      <c r="JZ3" s="3" t="s">
        <v>11</v>
      </c>
      <c r="KA3" s="3">
        <v>2</v>
      </c>
      <c r="KB3" s="3">
        <v>3</v>
      </c>
      <c r="KC3" s="3">
        <v>4</v>
      </c>
      <c r="KD3" s="3">
        <v>5</v>
      </c>
      <c r="KE3" s="3">
        <v>6</v>
      </c>
      <c r="KF3" s="3">
        <v>7</v>
      </c>
      <c r="KG3" s="3" t="s">
        <v>11</v>
      </c>
      <c r="KH3" s="3">
        <v>2</v>
      </c>
      <c r="KI3" s="3">
        <v>3</v>
      </c>
      <c r="KJ3" s="3">
        <v>4</v>
      </c>
      <c r="KK3" s="3">
        <v>5</v>
      </c>
      <c r="KL3" s="3">
        <v>6</v>
      </c>
      <c r="KM3" s="3">
        <v>7</v>
      </c>
      <c r="KN3" s="3" t="s">
        <v>11</v>
      </c>
      <c r="KO3" s="3">
        <v>2</v>
      </c>
      <c r="KP3" s="3">
        <v>3</v>
      </c>
      <c r="KQ3" s="3">
        <v>4</v>
      </c>
      <c r="KR3" s="3">
        <v>5</v>
      </c>
      <c r="KS3" s="3">
        <v>6</v>
      </c>
      <c r="KT3" s="3">
        <v>7</v>
      </c>
      <c r="KU3" s="3" t="s">
        <v>11</v>
      </c>
      <c r="KV3" s="3">
        <v>2</v>
      </c>
      <c r="KW3" s="3">
        <v>3</v>
      </c>
      <c r="KX3" s="3">
        <v>4</v>
      </c>
      <c r="KY3" s="3">
        <v>5</v>
      </c>
      <c r="KZ3" s="3">
        <v>6</v>
      </c>
      <c r="LA3" s="3">
        <v>7</v>
      </c>
      <c r="LB3" s="3" t="s">
        <v>11</v>
      </c>
      <c r="LC3" s="3">
        <v>2</v>
      </c>
      <c r="LD3" s="3">
        <v>3</v>
      </c>
      <c r="LE3" s="3">
        <v>4</v>
      </c>
      <c r="LF3" s="3">
        <v>5</v>
      </c>
      <c r="LG3" s="3">
        <v>6</v>
      </c>
      <c r="LH3" s="3">
        <v>7</v>
      </c>
      <c r="LI3" s="3" t="s">
        <v>11</v>
      </c>
      <c r="LJ3" s="3">
        <v>2</v>
      </c>
      <c r="LK3" s="3">
        <v>3</v>
      </c>
      <c r="LL3" s="3">
        <v>4</v>
      </c>
      <c r="LM3" s="3">
        <v>5</v>
      </c>
      <c r="LN3" s="3">
        <v>6</v>
      </c>
      <c r="LO3" s="3">
        <v>7</v>
      </c>
      <c r="LP3" s="3" t="s">
        <v>11</v>
      </c>
      <c r="LQ3" s="3">
        <v>2</v>
      </c>
      <c r="LR3" s="3">
        <v>3</v>
      </c>
      <c r="LS3" s="3">
        <v>4</v>
      </c>
      <c r="LT3" s="3">
        <v>5</v>
      </c>
      <c r="LU3" s="3">
        <v>6</v>
      </c>
      <c r="LV3" s="3">
        <v>7</v>
      </c>
      <c r="LW3" s="3" t="s">
        <v>11</v>
      </c>
      <c r="LX3" s="3">
        <v>2</v>
      </c>
      <c r="LY3" s="3">
        <v>3</v>
      </c>
      <c r="LZ3" s="3">
        <v>4</v>
      </c>
      <c r="MA3" s="3">
        <v>5</v>
      </c>
      <c r="MB3" s="3">
        <v>6</v>
      </c>
      <c r="MC3" s="3">
        <v>7</v>
      </c>
      <c r="MD3" s="3" t="s">
        <v>11</v>
      </c>
      <c r="ME3" s="3">
        <v>2</v>
      </c>
      <c r="MF3" s="3">
        <v>3</v>
      </c>
      <c r="MG3" s="3">
        <v>4</v>
      </c>
      <c r="MH3" s="3">
        <v>5</v>
      </c>
      <c r="MI3" s="3">
        <v>6</v>
      </c>
      <c r="MJ3" s="3">
        <v>7</v>
      </c>
      <c r="MK3" s="3" t="s">
        <v>11</v>
      </c>
      <c r="ML3" s="3">
        <v>2</v>
      </c>
      <c r="MM3" s="3">
        <v>3</v>
      </c>
      <c r="MN3" s="3">
        <v>4</v>
      </c>
      <c r="MO3" s="3">
        <v>5</v>
      </c>
      <c r="MP3" s="3">
        <v>6</v>
      </c>
      <c r="MQ3" s="3">
        <v>7</v>
      </c>
      <c r="MR3" s="3" t="s">
        <v>11</v>
      </c>
      <c r="MS3" s="3">
        <v>2</v>
      </c>
      <c r="MT3" s="3">
        <v>3</v>
      </c>
      <c r="MU3" s="3">
        <v>4</v>
      </c>
      <c r="MV3" s="3">
        <v>5</v>
      </c>
      <c r="MW3" s="3">
        <v>6</v>
      </c>
      <c r="MX3" s="3">
        <v>7</v>
      </c>
      <c r="MY3" s="3" t="s">
        <v>11</v>
      </c>
      <c r="MZ3" s="3">
        <v>2</v>
      </c>
      <c r="NA3" s="3">
        <v>3</v>
      </c>
      <c r="NB3" s="3">
        <v>4</v>
      </c>
      <c r="NC3" s="3">
        <v>5</v>
      </c>
    </row>
    <row r="4" spans="1:372">
      <c r="A4" s="158" t="s">
        <v>167</v>
      </c>
      <c r="B4" s="159"/>
      <c r="C4" s="77">
        <f>ROUND(REV!B6/1000000,0)</f>
        <v>648</v>
      </c>
      <c r="D4" s="77">
        <f>ROUND(REV!C6/1000000,0)</f>
        <v>429</v>
      </c>
      <c r="E4" s="77">
        <f>ROUND(REV!D6/1000000,0)</f>
        <v>1571</v>
      </c>
      <c r="F4" s="77">
        <f>ROUND(REV!E6/1000000,0)</f>
        <v>955</v>
      </c>
      <c r="G4" s="77">
        <f>ROUND(REV!F6/1000000,0)</f>
        <v>899</v>
      </c>
      <c r="H4" s="77">
        <f>ROUND(REV!G6/1000000,0)</f>
        <v>962</v>
      </c>
      <c r="I4" s="77">
        <f>ROUND(REV!H6/1000000,0)</f>
        <v>782</v>
      </c>
      <c r="J4" s="77">
        <f>ROUND(REV!I6/1000000,0)</f>
        <v>544</v>
      </c>
      <c r="K4" s="77">
        <f>ROUND(REV!J6/1000000,0)</f>
        <v>935</v>
      </c>
      <c r="L4" s="77">
        <f>ROUND(REV!K6/1000000,0)</f>
        <v>599</v>
      </c>
      <c r="M4" s="77">
        <f>ROUND(REV!L6/1000000,0)</f>
        <v>566</v>
      </c>
      <c r="N4" s="77">
        <f>ROUND(REV!M6/1000000,0)</f>
        <v>551</v>
      </c>
      <c r="O4" s="77">
        <f>ROUND(REV!N6/1000000,0)</f>
        <v>719</v>
      </c>
      <c r="P4" s="77">
        <f>ROUND(REV!O6/1000000,0)</f>
        <v>793</v>
      </c>
      <c r="Q4" s="77">
        <f>ROUND(REV!P6/1000000,0)</f>
        <v>323</v>
      </c>
      <c r="R4" s="77">
        <f>ROUND(REV!Q6/1000000,0)</f>
        <v>425</v>
      </c>
      <c r="S4" s="77">
        <f>ROUND(REV!R6/1000000,0)</f>
        <v>418</v>
      </c>
      <c r="T4" s="77">
        <f>ROUND(REV!S6/1000000,0)</f>
        <v>426</v>
      </c>
      <c r="U4" s="77">
        <f>ROUND(REV!T6/1000000,0)</f>
        <v>310</v>
      </c>
      <c r="V4" s="77">
        <f>ROUND(REV!U6/1000000,0)</f>
        <v>749</v>
      </c>
      <c r="W4" s="77">
        <f>ROUND(REV!V6/1000000,0)</f>
        <v>553</v>
      </c>
      <c r="X4" s="77">
        <f>ROUND(REV!W6/1000000,0)</f>
        <v>451</v>
      </c>
      <c r="Y4" s="77">
        <f>ROUND(REV!X6/1000000,0)</f>
        <v>404</v>
      </c>
      <c r="Z4" s="77">
        <f>ROUND(REV!Y6/1000000,0)</f>
        <v>625</v>
      </c>
      <c r="AA4" s="77">
        <f>ROUND(REV!Z6/1000000,0)</f>
        <v>431</v>
      </c>
      <c r="AB4" s="77">
        <f>ROUND(REV!AA6/1000000,0)</f>
        <v>511</v>
      </c>
      <c r="AC4" s="77">
        <f>ROUND(REV!AB6/1000000,0)</f>
        <v>511</v>
      </c>
      <c r="AD4" s="77">
        <f>ROUND(REV!AC6/1000000,0)</f>
        <v>572</v>
      </c>
      <c r="AE4" s="77">
        <f>ROUND(REV!AD6/1000000,0)</f>
        <v>825</v>
      </c>
      <c r="AF4" s="77">
        <f>ROUND(REV!AE6/1000000,0)</f>
        <v>620</v>
      </c>
      <c r="AG4" s="77">
        <f>ROUND(REV!AF6/1000000,0)</f>
        <v>802</v>
      </c>
      <c r="AH4" s="77">
        <f>ROUND(REV!AG6/1000000,0)</f>
        <v>1743</v>
      </c>
      <c r="AI4" s="77">
        <f>ROUND(REV!AH6/1000000,0)</f>
        <v>1244</v>
      </c>
      <c r="AJ4" s="77">
        <f>ROUND(REV!AI6/1000000,0)</f>
        <v>787</v>
      </c>
      <c r="AK4" s="77">
        <f>ROUND(REV!AJ6/1000000,0)</f>
        <v>651</v>
      </c>
      <c r="AL4" s="77">
        <f>ROUND(REV!AK6/1000000,0)</f>
        <v>1008</v>
      </c>
      <c r="AM4" s="77">
        <f>ROUND(REV!AL6/1000000,0)</f>
        <v>882</v>
      </c>
      <c r="AN4" s="77">
        <f>ROUND(REV!AM6/1000000,0)</f>
        <v>756</v>
      </c>
      <c r="AO4" s="77">
        <f>ROUND(REV!AN6/1000000,0)</f>
        <v>849</v>
      </c>
      <c r="AP4" s="77">
        <f>ROUND(REV!AO6/1000000,0)</f>
        <v>795</v>
      </c>
      <c r="AQ4" s="77">
        <f>ROUND(REV!AP6/1000000,0)</f>
        <v>941</v>
      </c>
      <c r="AR4" s="77">
        <f>ROUND(REV!AQ6/1000000,0)</f>
        <v>506</v>
      </c>
      <c r="AS4" s="77">
        <f>ROUND(REV!AR6/1000000,0)</f>
        <v>440</v>
      </c>
      <c r="AT4" s="77">
        <f>ROUND(REV!AS6/1000000,0)</f>
        <v>506</v>
      </c>
      <c r="AU4" s="77">
        <f>ROUND(REV!AT6/1000000,0)</f>
        <v>436</v>
      </c>
      <c r="AV4" s="77">
        <f>ROUND(REV!AU6/1000000,0)</f>
        <v>471</v>
      </c>
      <c r="AW4" s="77">
        <f>ROUND(REV!AV6/1000000,0)</f>
        <v>506</v>
      </c>
      <c r="AX4" s="77">
        <f>ROUND(REV!AW6/1000000,0)</f>
        <v>302</v>
      </c>
      <c r="AY4" s="77">
        <f>ROUND(REV!AX6/1000000,0)</f>
        <v>394</v>
      </c>
      <c r="AZ4" s="77">
        <f>ROUND(REV!AY6/1000000,0)</f>
        <v>332</v>
      </c>
      <c r="BA4" s="77">
        <f>ROUND(REV!AZ6/1000000,0)</f>
        <v>286</v>
      </c>
      <c r="BB4" s="77">
        <f>ROUND(REV!BA6/1000000,0)</f>
        <v>291</v>
      </c>
      <c r="BC4" s="77">
        <f>ROUND(REV!BB6/1000000,0)</f>
        <v>577</v>
      </c>
      <c r="BD4" s="77">
        <f>ROUND(REV!BC6/1000000,0)</f>
        <v>343</v>
      </c>
      <c r="BE4" s="77">
        <f>ROUND(REV!BD6/1000000,0)</f>
        <v>365</v>
      </c>
      <c r="BF4" s="77">
        <f>ROUND(REV!BE6/1000000,0)</f>
        <v>517</v>
      </c>
      <c r="BG4" s="77">
        <f>ROUND(REV!BF6/1000000,0)</f>
        <v>701</v>
      </c>
      <c r="BH4" s="77">
        <f>ROUND(REV!BG6/1000000,0)</f>
        <v>711</v>
      </c>
      <c r="BI4" s="77">
        <f>ROUND(REV!BH6/1000000,0)</f>
        <v>543</v>
      </c>
      <c r="BJ4" s="77">
        <f>ROUND(REV!BI6/1000000,0)</f>
        <v>644</v>
      </c>
      <c r="BK4" s="77">
        <f>ROUND(REV!BJ6/1000000,0)</f>
        <v>750</v>
      </c>
      <c r="BL4" s="77">
        <f>ROUND(REV!BK6/1000000,0)</f>
        <v>652</v>
      </c>
      <c r="BM4" s="77">
        <f>ROUND(REV!BL6/1000000,0)</f>
        <v>2050</v>
      </c>
      <c r="BN4" s="77">
        <f>ROUND(REV!BM6/1000000,0)</f>
        <v>1042</v>
      </c>
      <c r="BO4" s="77">
        <f>ROUND(REV!BN6/1000000,0)</f>
        <v>1048</v>
      </c>
      <c r="BP4" s="77">
        <f>ROUND(REV!BO6/1000000,0)</f>
        <v>760</v>
      </c>
      <c r="BQ4" s="77">
        <f>ROUND(REV!BP6/1000000,0)</f>
        <v>415</v>
      </c>
      <c r="BR4" s="77">
        <f>ROUND(REV!BQ6/1000000,0)</f>
        <v>697</v>
      </c>
      <c r="BS4" s="77">
        <f>ROUND(REV!BR6/1000000,0)</f>
        <v>1163</v>
      </c>
      <c r="BT4" s="77">
        <f>ROUND(REV!BS6/1000000,0)</f>
        <v>726</v>
      </c>
      <c r="BU4" s="77">
        <f>ROUND(REV!BT6/1000000,0)</f>
        <v>572</v>
      </c>
      <c r="BV4" s="77">
        <f>ROUND(REV!BU6/1000000,0)</f>
        <v>650</v>
      </c>
      <c r="BW4" s="77">
        <f>ROUND(REV!BV6/1000000,0)</f>
        <v>410</v>
      </c>
      <c r="BX4" s="77">
        <f>ROUND(REV!BW6/1000000,0)</f>
        <v>287</v>
      </c>
      <c r="BY4" s="77">
        <f>ROUND(REV!BX6/1000000,0)</f>
        <v>383</v>
      </c>
      <c r="BZ4" s="77">
        <f>ROUND(REV!BY6/1000000,0)</f>
        <v>290</v>
      </c>
      <c r="CA4" s="77">
        <f>ROUND(REV!BZ6/1000000,0)</f>
        <v>745</v>
      </c>
      <c r="CB4" s="77">
        <f>ROUND(REV!CA6/1000000,0)</f>
        <v>664</v>
      </c>
      <c r="CC4" s="77">
        <f>ROUND(REV!CB6/1000000,0)</f>
        <v>482</v>
      </c>
      <c r="CD4" s="77">
        <f>ROUND(REV!CC6/1000000,0)</f>
        <v>471</v>
      </c>
      <c r="CE4" s="77">
        <f>ROUND(REV!CD6/1000000,0)</f>
        <v>355</v>
      </c>
      <c r="CF4" s="77">
        <f>ROUND(REV!CE6/1000000,0)</f>
        <v>1393</v>
      </c>
      <c r="CG4" s="77">
        <f>ROUND(REV!CF6/1000000,0)</f>
        <v>852</v>
      </c>
      <c r="CH4" s="77">
        <f>ROUND(REV!CG6/1000000,0)</f>
        <v>996</v>
      </c>
      <c r="CI4" s="77">
        <f>ROUND(REV!CH6/1000000,0)</f>
        <v>829</v>
      </c>
      <c r="CJ4" s="77">
        <f>ROUND(REV!CI6/1000000,0)</f>
        <v>627</v>
      </c>
      <c r="CK4" s="77">
        <f>ROUND(REV!CJ6/1000000,0)</f>
        <v>543</v>
      </c>
      <c r="CL4" s="77">
        <f>ROUND(REV!CK6/1000000,0)</f>
        <v>545</v>
      </c>
      <c r="CM4" s="77">
        <f>ROUND(REV!CL6/1000000,0)</f>
        <v>714</v>
      </c>
      <c r="CN4" s="77">
        <f>ROUND(REV!CM6/1000000,0)</f>
        <v>640</v>
      </c>
      <c r="CO4" s="77">
        <f>ROUND(REV!CN6/1000000,0)</f>
        <v>983</v>
      </c>
      <c r="CP4" s="77">
        <f>ROUND(REV!CO6/1000000,0)</f>
        <v>874</v>
      </c>
      <c r="CQ4" s="77">
        <f>ROUND(REV!CP6/1000000,0)</f>
        <v>792</v>
      </c>
      <c r="CR4" s="77">
        <f>ROUND(REV!CQ6/1000000,0)</f>
        <v>2170</v>
      </c>
      <c r="CS4" s="77">
        <f>ROUND(REV!CR6/1000000,0)</f>
        <v>1054</v>
      </c>
      <c r="CT4" s="77">
        <f>ROUND(REV!CS6/1000000,0)</f>
        <v>990</v>
      </c>
      <c r="CU4" s="77">
        <f>ROUND(REV!CT6/1000000,0)</f>
        <v>1293</v>
      </c>
      <c r="CV4" s="77">
        <f>ROUND(REV!CU6/1000000,0)</f>
        <v>953</v>
      </c>
      <c r="CW4" s="77">
        <f>ROUND(REV!CV6/1000000,0)</f>
        <v>0</v>
      </c>
      <c r="CX4" s="77">
        <f>ROUND(REV!CW6/1000000,0)</f>
        <v>0</v>
      </c>
      <c r="CY4" s="77">
        <f>ROUND(REV!CX6/1000000,0)</f>
        <v>0</v>
      </c>
      <c r="CZ4" s="77">
        <f>ROUND(REV!CY6/1000000,0)</f>
        <v>0</v>
      </c>
      <c r="DA4" s="77">
        <f>ROUND(REV!CZ6/1000000,0)</f>
        <v>0</v>
      </c>
      <c r="DB4" s="77">
        <f>ROUND(REV!DA6/1000000,0)</f>
        <v>0</v>
      </c>
      <c r="DC4" s="77">
        <f>ROUND(REV!DB6/1000000,0)</f>
        <v>0</v>
      </c>
      <c r="DD4" s="77">
        <f>ROUND(REV!DC6/1000000,0)</f>
        <v>0</v>
      </c>
      <c r="DE4" s="77">
        <f>ROUND(REV!DD6/1000000,0)</f>
        <v>0</v>
      </c>
      <c r="DF4" s="77">
        <f>ROUND(REV!DE6/1000000,0)</f>
        <v>0</v>
      </c>
      <c r="DG4" s="77">
        <f>ROUND(REV!DF6/1000000,0)</f>
        <v>0</v>
      </c>
      <c r="DH4" s="77">
        <f>ROUND(REV!DG6/1000000,0)</f>
        <v>0</v>
      </c>
      <c r="DI4" s="77">
        <f>ROUND(REV!DH6/1000000,0)</f>
        <v>0</v>
      </c>
      <c r="DJ4" s="77">
        <f>ROUND(REV!DI6/1000000,0)</f>
        <v>0</v>
      </c>
      <c r="DK4" s="77">
        <f>ROUND(REV!DJ6/1000000,0)</f>
        <v>0</v>
      </c>
      <c r="DL4" s="77">
        <f>ROUND(REV!DK6/1000000,0)</f>
        <v>0</v>
      </c>
      <c r="DM4" s="77">
        <f>ROUND(REV!DL6/1000000,0)</f>
        <v>0</v>
      </c>
      <c r="DN4" s="77">
        <f>ROUND(REV!DM6/1000000,0)</f>
        <v>0</v>
      </c>
      <c r="DO4" s="77">
        <f>ROUND(REV!DN6/1000000,0)</f>
        <v>0</v>
      </c>
      <c r="DP4" s="77">
        <f>ROUND(REV!DO6/1000000,0)</f>
        <v>0</v>
      </c>
      <c r="DQ4" s="77">
        <f>ROUND(REV!DP6/1000000,0)</f>
        <v>0</v>
      </c>
      <c r="DR4" s="77">
        <f>ROUND(REV!DQ6/1000000,0)</f>
        <v>0</v>
      </c>
      <c r="DS4" s="77">
        <f>ROUND(REV!DR6/1000000,0)</f>
        <v>0</v>
      </c>
      <c r="DT4" s="77">
        <f>ROUND(REV!DS6/1000000,0)</f>
        <v>0</v>
      </c>
      <c r="DU4" s="77">
        <f>ROUND(REV!DT6/1000000,0)</f>
        <v>0</v>
      </c>
      <c r="DV4" s="77">
        <f>ROUND(REV!DU6/1000000,0)</f>
        <v>0</v>
      </c>
      <c r="DW4" s="77">
        <f>ROUND(REV!DV6/1000000,0)</f>
        <v>0</v>
      </c>
      <c r="DX4" s="77">
        <f>ROUND(REV!DW6/1000000,0)</f>
        <v>0</v>
      </c>
      <c r="DY4" s="77">
        <f>ROUND(REV!DX6/1000000,0)</f>
        <v>0</v>
      </c>
      <c r="DZ4" s="77">
        <f>ROUND(REV!DY6/1000000,0)</f>
        <v>0</v>
      </c>
      <c r="EA4" s="77">
        <f>ROUND(REV!DZ6/1000000,0)</f>
        <v>0</v>
      </c>
      <c r="EB4" s="77">
        <f>ROUND(REV!EA6/1000000,0)</f>
        <v>0</v>
      </c>
      <c r="EC4" s="77">
        <f>ROUND(REV!EB6/1000000,0)</f>
        <v>0</v>
      </c>
      <c r="ED4" s="77">
        <f>ROUND(REV!EC6/1000000,0)</f>
        <v>0</v>
      </c>
      <c r="EE4" s="77">
        <f>ROUND(REV!ED6/1000000,0)</f>
        <v>0</v>
      </c>
      <c r="EF4" s="77">
        <f>ROUND(REV!EE6/1000000,0)</f>
        <v>0</v>
      </c>
      <c r="EG4" s="77">
        <f>ROUND(REV!EF6/1000000,0)</f>
        <v>0</v>
      </c>
      <c r="EH4" s="77">
        <f>ROUND(REV!EG6/1000000,0)</f>
        <v>0</v>
      </c>
      <c r="EI4" s="77">
        <f>ROUND(REV!EH6/1000000,0)</f>
        <v>0</v>
      </c>
      <c r="EJ4" s="77">
        <f>ROUND(REV!EI6/1000000,0)</f>
        <v>0</v>
      </c>
      <c r="EK4" s="77">
        <f>ROUND(REV!EJ6/1000000,0)</f>
        <v>0</v>
      </c>
      <c r="EL4" s="77">
        <f>ROUND(REV!EK6/1000000,0)</f>
        <v>0</v>
      </c>
      <c r="EM4" s="77">
        <f>ROUND(REV!EL6/1000000,0)</f>
        <v>0</v>
      </c>
      <c r="EN4" s="77">
        <f>ROUND(REV!EM6/1000000,0)</f>
        <v>0</v>
      </c>
      <c r="EO4" s="77">
        <f>ROUND(REV!EN6/1000000,0)</f>
        <v>0</v>
      </c>
      <c r="EP4" s="77">
        <f>ROUND(REV!EO6/1000000,0)</f>
        <v>0</v>
      </c>
      <c r="EQ4" s="77">
        <f>ROUND(REV!EP6/1000000,0)</f>
        <v>0</v>
      </c>
      <c r="ER4" s="77">
        <f>ROUND(REV!EQ6/1000000,0)</f>
        <v>0</v>
      </c>
      <c r="ES4" s="77">
        <f>ROUND(REV!ER6/1000000,0)</f>
        <v>0</v>
      </c>
      <c r="ET4" s="77">
        <f>ROUND(REV!ES6/1000000,0)</f>
        <v>0</v>
      </c>
      <c r="EU4" s="77">
        <f>ROUND(REV!ET6/1000000,0)</f>
        <v>0</v>
      </c>
      <c r="EV4" s="77">
        <f>ROUND(REV!EU6/1000000,0)</f>
        <v>0</v>
      </c>
      <c r="EW4" s="77">
        <f>ROUND(REV!EV6/1000000,0)</f>
        <v>0</v>
      </c>
      <c r="EX4" s="77">
        <f>ROUND(REV!EW6/1000000,0)</f>
        <v>0</v>
      </c>
      <c r="EY4" s="77">
        <f>ROUND(REV!EX6/1000000,0)</f>
        <v>0</v>
      </c>
      <c r="EZ4" s="77">
        <f>ROUND(REV!EY6/1000000,0)</f>
        <v>0</v>
      </c>
      <c r="FA4" s="77">
        <f>ROUND(REV!EZ6/1000000,0)</f>
        <v>0</v>
      </c>
      <c r="FB4" s="77">
        <f>ROUND(REV!FA6/1000000,0)</f>
        <v>0</v>
      </c>
      <c r="FC4" s="77">
        <f>ROUND(REV!FB6/1000000,0)</f>
        <v>0</v>
      </c>
      <c r="FD4" s="77">
        <f>ROUND(REV!FC6/1000000,0)</f>
        <v>0</v>
      </c>
      <c r="FE4" s="77">
        <f>ROUND(REV!FD6/1000000,0)</f>
        <v>0</v>
      </c>
      <c r="FF4" s="77">
        <f>ROUND(REV!FE6/1000000,0)</f>
        <v>0</v>
      </c>
      <c r="FG4" s="77">
        <f>ROUND(REV!FF6/1000000,0)</f>
        <v>0</v>
      </c>
      <c r="FH4" s="77">
        <f>ROUND(REV!FG6/1000000,0)</f>
        <v>0</v>
      </c>
      <c r="FI4" s="77">
        <f>ROUND(REV!FH6/1000000,0)</f>
        <v>0</v>
      </c>
      <c r="FJ4" s="77">
        <f>ROUND(REV!FI6/1000000,0)</f>
        <v>0</v>
      </c>
      <c r="FK4" s="77">
        <f>ROUND(REV!FJ6/1000000,0)</f>
        <v>0</v>
      </c>
      <c r="FL4" s="77">
        <f>ROUND(REV!FK6/1000000,0)</f>
        <v>0</v>
      </c>
      <c r="FM4" s="77">
        <f>ROUND(REV!FL6/1000000,0)</f>
        <v>0</v>
      </c>
      <c r="FN4" s="77">
        <f>ROUND(REV!FM6/1000000,0)</f>
        <v>0</v>
      </c>
      <c r="FO4" s="77">
        <f>ROUND(REV!FN6/1000000,0)</f>
        <v>0</v>
      </c>
      <c r="FP4" s="77">
        <f>ROUND(REV!FO6/1000000,0)</f>
        <v>0</v>
      </c>
      <c r="FQ4" s="77">
        <f>ROUND(REV!FP6/1000000,0)</f>
        <v>0</v>
      </c>
      <c r="FR4" s="77">
        <f>ROUND(REV!FQ6/1000000,0)</f>
        <v>0</v>
      </c>
      <c r="FS4" s="77">
        <f>ROUND(REV!FR6/1000000,0)</f>
        <v>0</v>
      </c>
      <c r="FT4" s="77">
        <f>ROUND(REV!FS6/1000000,0)</f>
        <v>0</v>
      </c>
      <c r="FU4" s="77">
        <f>ROUND(REV!FT6/1000000,0)</f>
        <v>0</v>
      </c>
      <c r="FV4" s="77">
        <f>ROUND(REV!FU6/1000000,0)</f>
        <v>0</v>
      </c>
      <c r="FW4" s="77">
        <f>ROUND(REV!FV6/1000000,0)</f>
        <v>0</v>
      </c>
      <c r="FX4" s="77">
        <f>ROUND(REV!FW6/1000000,0)</f>
        <v>0</v>
      </c>
      <c r="FY4" s="77">
        <f>ROUND(REV!FX6/1000000,0)</f>
        <v>0</v>
      </c>
      <c r="FZ4" s="77">
        <f>ROUND(REV!FY6/1000000,0)</f>
        <v>0</v>
      </c>
      <c r="GA4" s="77">
        <f>ROUND(REV!FZ6/1000000,0)</f>
        <v>0</v>
      </c>
      <c r="GB4" s="77">
        <f>ROUND(REV!GA6/1000000,0)</f>
        <v>0</v>
      </c>
      <c r="GC4" s="77">
        <f>ROUND(REV!GB6/1000000,0)</f>
        <v>0</v>
      </c>
      <c r="GD4" s="77">
        <f>ROUND(REV!GC6/1000000,0)</f>
        <v>0</v>
      </c>
      <c r="GE4" s="77">
        <f>ROUND(REV!GD6/1000000,0)</f>
        <v>0</v>
      </c>
      <c r="GF4" s="77">
        <f>ROUND(REV!GE6/1000000,0)</f>
        <v>0</v>
      </c>
      <c r="GG4" s="77">
        <f>ROUND(REV!GF6/1000000,0)</f>
        <v>0</v>
      </c>
      <c r="GH4" s="77">
        <f>ROUND(REV!GG6/1000000,0)</f>
        <v>0</v>
      </c>
      <c r="GI4" s="77">
        <f>ROUND(REV!GH6/1000000,0)</f>
        <v>0</v>
      </c>
      <c r="GJ4" s="77">
        <f>ROUND(REV!GI6/1000000,0)</f>
        <v>0</v>
      </c>
      <c r="GK4" s="77">
        <f>ROUND(REV!GJ6/1000000,0)</f>
        <v>0</v>
      </c>
      <c r="GL4" s="77">
        <f>ROUND(REV!GK6/1000000,0)</f>
        <v>0</v>
      </c>
      <c r="GM4" s="77">
        <f>ROUND(REV!GL6/1000000,0)</f>
        <v>0</v>
      </c>
      <c r="GN4" s="77">
        <f>ROUND(REV!GM6/1000000,0)</f>
        <v>0</v>
      </c>
      <c r="GO4" s="77">
        <f>ROUND(REV!GN6/1000000,0)</f>
        <v>0</v>
      </c>
      <c r="GP4" s="77">
        <f>ROUND(REV!GO6/1000000,0)</f>
        <v>0</v>
      </c>
      <c r="GQ4" s="77">
        <f>ROUND(REV!GP6/1000000,0)</f>
        <v>0</v>
      </c>
      <c r="GR4" s="77">
        <f>ROUND(REV!GQ6/1000000,0)</f>
        <v>0</v>
      </c>
      <c r="GS4" s="77">
        <f>ROUND(REV!GR6/1000000,0)</f>
        <v>0</v>
      </c>
      <c r="GT4" s="77">
        <f>ROUND(REV!GS6/1000000,0)</f>
        <v>0</v>
      </c>
      <c r="GU4" s="77">
        <f>ROUND(REV!GT6/1000000,0)</f>
        <v>0</v>
      </c>
      <c r="GV4" s="77">
        <f>ROUND(REV!GU6/1000000,0)</f>
        <v>0</v>
      </c>
      <c r="GW4" s="77">
        <f>ROUND(REV!GV6/1000000,0)</f>
        <v>0</v>
      </c>
      <c r="GX4" s="77">
        <f>ROUND(REV!GW6/1000000,0)</f>
        <v>0</v>
      </c>
      <c r="GY4" s="77">
        <f>ROUND(REV!GX6/1000000,0)</f>
        <v>0</v>
      </c>
      <c r="GZ4" s="77">
        <f>ROUND(REV!GY6/1000000,0)</f>
        <v>0</v>
      </c>
      <c r="HA4" s="77">
        <f>ROUND(REV!GZ6/1000000,0)</f>
        <v>0</v>
      </c>
      <c r="HB4" s="77">
        <f>ROUND(REV!HA6/1000000,0)</f>
        <v>0</v>
      </c>
      <c r="HC4" s="77">
        <f>ROUND(REV!HB6/1000000,0)</f>
        <v>0</v>
      </c>
      <c r="HD4" s="77">
        <f>ROUND(REV!HC6/1000000,0)</f>
        <v>0</v>
      </c>
      <c r="HE4" s="77">
        <f>ROUND(REV!HD6/1000000,0)</f>
        <v>0</v>
      </c>
      <c r="HF4" s="77">
        <f>ROUND(REV!HE6/1000000,0)</f>
        <v>0</v>
      </c>
      <c r="HG4" s="77">
        <f>ROUND(REV!HF6/1000000,0)</f>
        <v>0</v>
      </c>
      <c r="HH4" s="77">
        <f>ROUND(REV!HG6/1000000,0)</f>
        <v>0</v>
      </c>
      <c r="HI4" s="77">
        <f>ROUND(REV!HH6/1000000,0)</f>
        <v>0</v>
      </c>
      <c r="HJ4" s="77">
        <f>ROUND(REV!HI6/1000000,0)</f>
        <v>0</v>
      </c>
      <c r="HK4" s="77">
        <f>ROUND(REV!HJ6/1000000,0)</f>
        <v>0</v>
      </c>
      <c r="HL4" s="77">
        <f>ROUND(REV!HK6/1000000,0)</f>
        <v>0</v>
      </c>
      <c r="HM4" s="77">
        <f>ROUND(REV!HL6/1000000,0)</f>
        <v>0</v>
      </c>
      <c r="HN4" s="77">
        <f>ROUND(REV!HM6/1000000,0)</f>
        <v>0</v>
      </c>
      <c r="HO4" s="77">
        <f>ROUND(REV!HN6/1000000,0)</f>
        <v>0</v>
      </c>
      <c r="HP4" s="77">
        <f>ROUND(REV!HO6/1000000,0)</f>
        <v>0</v>
      </c>
      <c r="HQ4" s="77">
        <f>ROUND(REV!HP6/1000000,0)</f>
        <v>0</v>
      </c>
      <c r="HR4" s="77">
        <f>ROUND(REV!HQ6/1000000,0)</f>
        <v>0</v>
      </c>
      <c r="HS4" s="77">
        <f>ROUND(REV!HR6/1000000,0)</f>
        <v>0</v>
      </c>
      <c r="HT4" s="77">
        <f>ROUND(REV!HS6/1000000,0)</f>
        <v>0</v>
      </c>
      <c r="HU4" s="77">
        <f>ROUND(REV!HT6/1000000,0)</f>
        <v>0</v>
      </c>
      <c r="HV4" s="77">
        <f>ROUND(REV!HU6/1000000,0)</f>
        <v>0</v>
      </c>
      <c r="HW4" s="77">
        <f>ROUND(REV!HV6/1000000,0)</f>
        <v>0</v>
      </c>
      <c r="HX4" s="77">
        <f>ROUND(REV!HW6/1000000,0)</f>
        <v>0</v>
      </c>
      <c r="HY4" s="77">
        <f>ROUND(REV!HX6/1000000,0)</f>
        <v>0</v>
      </c>
      <c r="HZ4" s="77">
        <f>ROUND(REV!HY6/1000000,0)</f>
        <v>0</v>
      </c>
      <c r="IA4" s="77">
        <f>ROUND(REV!HZ6/1000000,0)</f>
        <v>0</v>
      </c>
      <c r="IB4" s="77">
        <f>ROUND(REV!IA6/1000000,0)</f>
        <v>0</v>
      </c>
      <c r="IC4" s="77">
        <f>ROUND(REV!IB6/1000000,0)</f>
        <v>0</v>
      </c>
      <c r="ID4" s="77">
        <f>ROUND(REV!IC6/1000000,0)</f>
        <v>0</v>
      </c>
      <c r="IE4" s="77">
        <f>ROUND(REV!ID6/1000000,0)</f>
        <v>0</v>
      </c>
      <c r="IF4" s="77">
        <f>ROUND(REV!IE6/1000000,0)</f>
        <v>0</v>
      </c>
      <c r="IG4" s="77">
        <f>ROUND(REV!IF6/1000000,0)</f>
        <v>0</v>
      </c>
      <c r="IH4" s="77">
        <f>ROUND(REV!IG6/1000000,0)</f>
        <v>0</v>
      </c>
      <c r="II4" s="77">
        <f>ROUND(REV!IH6/1000000,0)</f>
        <v>0</v>
      </c>
      <c r="IJ4" s="77">
        <f>ROUND(REV!II6/1000000,0)</f>
        <v>0</v>
      </c>
      <c r="IK4" s="77">
        <f>ROUND(REV!IJ6/1000000,0)</f>
        <v>0</v>
      </c>
      <c r="IL4" s="77">
        <f>ROUND(REV!IK6/1000000,0)</f>
        <v>0</v>
      </c>
      <c r="IM4" s="77">
        <f>ROUND(REV!IL6/1000000,0)</f>
        <v>0</v>
      </c>
      <c r="IN4" s="77">
        <f>ROUND(REV!IM6/1000000,0)</f>
        <v>0</v>
      </c>
      <c r="IO4" s="77">
        <f>ROUND(REV!IN6/1000000,0)</f>
        <v>0</v>
      </c>
      <c r="IP4" s="77">
        <f>ROUND(REV!IO6/1000000,0)</f>
        <v>0</v>
      </c>
      <c r="IQ4" s="77">
        <f>ROUND(REV!IP6/1000000,0)</f>
        <v>0</v>
      </c>
      <c r="IR4" s="77">
        <f>ROUND(REV!IQ6/1000000,0)</f>
        <v>0</v>
      </c>
      <c r="IS4" s="77">
        <f>ROUND(REV!IR6/1000000,0)</f>
        <v>0</v>
      </c>
      <c r="IT4" s="77">
        <f>ROUND(REV!IS6/1000000,0)</f>
        <v>0</v>
      </c>
      <c r="IU4" s="77">
        <f>ROUND(REV!IT6/1000000,0)</f>
        <v>0</v>
      </c>
      <c r="IV4" s="77">
        <f>ROUND(REV!IU6/1000000,0)</f>
        <v>0</v>
      </c>
      <c r="IW4" s="77">
        <f>ROUND(REV!IV6/1000000,0)</f>
        <v>0</v>
      </c>
      <c r="IX4" s="77">
        <f>ROUND(REV!IW6/1000000,0)</f>
        <v>0</v>
      </c>
      <c r="IY4" s="77">
        <f>ROUND(REV!IX6/1000000,0)</f>
        <v>0</v>
      </c>
      <c r="IZ4" s="77">
        <f>ROUND(REV!IY6/1000000,0)</f>
        <v>0</v>
      </c>
      <c r="JA4" s="77">
        <f>ROUND(REV!IZ6/1000000,0)</f>
        <v>0</v>
      </c>
      <c r="JB4" s="77">
        <f>ROUND(REV!JA6/1000000,0)</f>
        <v>0</v>
      </c>
      <c r="JC4" s="77">
        <f>ROUND(REV!JB6/1000000,0)</f>
        <v>0</v>
      </c>
      <c r="JD4" s="77">
        <f>ROUND(REV!JC6/1000000,0)</f>
        <v>0</v>
      </c>
      <c r="JE4" s="77">
        <f>ROUND(REV!JD6/1000000,0)</f>
        <v>0</v>
      </c>
      <c r="JF4" s="77">
        <f>ROUND(REV!JE6/1000000,0)</f>
        <v>0</v>
      </c>
      <c r="JG4" s="77">
        <f>ROUND(REV!JF6/1000000,0)</f>
        <v>0</v>
      </c>
      <c r="JH4" s="77">
        <f>ROUND(REV!JG6/1000000,0)</f>
        <v>0</v>
      </c>
      <c r="JI4" s="77">
        <f>ROUND(REV!JH6/1000000,0)</f>
        <v>0</v>
      </c>
      <c r="JJ4" s="77">
        <f>ROUND(REV!JI6/1000000,0)</f>
        <v>0</v>
      </c>
      <c r="JK4" s="77">
        <f>ROUND(REV!JJ6/1000000,0)</f>
        <v>0</v>
      </c>
      <c r="JL4" s="77">
        <f>ROUND(REV!JK6/1000000,0)</f>
        <v>0</v>
      </c>
      <c r="JM4" s="77">
        <f>ROUND(REV!JL6/1000000,0)</f>
        <v>0</v>
      </c>
      <c r="JN4" s="77">
        <f>ROUND(REV!JM6/1000000,0)</f>
        <v>0</v>
      </c>
      <c r="JO4" s="77">
        <f>ROUND(REV!JN6/1000000,0)</f>
        <v>0</v>
      </c>
      <c r="JP4" s="77">
        <f>ROUND(REV!JO6/1000000,0)</f>
        <v>0</v>
      </c>
      <c r="JQ4" s="77">
        <f>ROUND(REV!JP6/1000000,0)</f>
        <v>0</v>
      </c>
      <c r="JR4" s="77">
        <f>ROUND(REV!JQ6/1000000,0)</f>
        <v>0</v>
      </c>
      <c r="JS4" s="77">
        <f>ROUND(REV!JR6/1000000,0)</f>
        <v>0</v>
      </c>
      <c r="JT4" s="77">
        <f>ROUND(REV!JS6/1000000,0)</f>
        <v>0</v>
      </c>
      <c r="JU4" s="77">
        <f>ROUND(REV!JT6/1000000,0)</f>
        <v>0</v>
      </c>
      <c r="JV4" s="77">
        <f>ROUND(REV!JU6/1000000,0)</f>
        <v>0</v>
      </c>
      <c r="JW4" s="77">
        <f>ROUND(REV!JV6/1000000,0)</f>
        <v>0</v>
      </c>
      <c r="JX4" s="77">
        <f>ROUND(REV!JW6/1000000,0)</f>
        <v>0</v>
      </c>
      <c r="JY4" s="77">
        <f>ROUND(REV!JX6/1000000,0)</f>
        <v>0</v>
      </c>
      <c r="JZ4" s="77">
        <f>ROUND(REV!JY6/1000000,0)</f>
        <v>0</v>
      </c>
      <c r="KA4" s="77">
        <f>ROUND(REV!JZ6/1000000,0)</f>
        <v>0</v>
      </c>
      <c r="KB4" s="77">
        <f>ROUND(REV!KA6/1000000,0)</f>
        <v>0</v>
      </c>
      <c r="KC4" s="77">
        <f>ROUND(REV!KB6/1000000,0)</f>
        <v>0</v>
      </c>
      <c r="KD4" s="77">
        <f>ROUND(REV!KC6/1000000,0)</f>
        <v>0</v>
      </c>
      <c r="KE4" s="77">
        <f>ROUND(REV!KD6/1000000,0)</f>
        <v>0</v>
      </c>
      <c r="KF4" s="77">
        <f>ROUND(REV!KE6/1000000,0)</f>
        <v>0</v>
      </c>
      <c r="KG4" s="77">
        <f>ROUND(REV!KF6/1000000,0)</f>
        <v>0</v>
      </c>
      <c r="KH4" s="77">
        <f>ROUND(REV!KG6/1000000,0)</f>
        <v>0</v>
      </c>
      <c r="KI4" s="77">
        <f>ROUND(REV!KH6/1000000,0)</f>
        <v>0</v>
      </c>
      <c r="KJ4" s="77">
        <f>ROUND(REV!KI6/1000000,0)</f>
        <v>0</v>
      </c>
      <c r="KK4" s="77">
        <f>ROUND(REV!KJ6/1000000,0)</f>
        <v>0</v>
      </c>
      <c r="KL4" s="77">
        <f>ROUND(REV!KK6/1000000,0)</f>
        <v>0</v>
      </c>
      <c r="KM4" s="77">
        <f>ROUND(REV!KL6/1000000,0)</f>
        <v>0</v>
      </c>
      <c r="KN4" s="77">
        <f>ROUND(REV!KM6/1000000,0)</f>
        <v>0</v>
      </c>
      <c r="KO4" s="77">
        <f>ROUND(REV!KN6/1000000,0)</f>
        <v>0</v>
      </c>
      <c r="KP4" s="77">
        <f>ROUND(REV!KO6/1000000,0)</f>
        <v>0</v>
      </c>
      <c r="KQ4" s="77">
        <f>ROUND(REV!KP6/1000000,0)</f>
        <v>0</v>
      </c>
      <c r="KR4" s="77">
        <f>ROUND(REV!KQ6/1000000,0)</f>
        <v>0</v>
      </c>
      <c r="KS4" s="77">
        <f>ROUND(REV!KR6/1000000,0)</f>
        <v>0</v>
      </c>
      <c r="KT4" s="77">
        <f>ROUND(REV!KS6/1000000,0)</f>
        <v>0</v>
      </c>
      <c r="KU4" s="77">
        <f>ROUND(REV!KT6/1000000,0)</f>
        <v>0</v>
      </c>
      <c r="KV4" s="77">
        <f>ROUND(REV!KU6/1000000,0)</f>
        <v>0</v>
      </c>
      <c r="KW4" s="77">
        <f>ROUND(REV!KV6/1000000,0)</f>
        <v>0</v>
      </c>
      <c r="KX4" s="77">
        <f>ROUND(REV!KW6/1000000,0)</f>
        <v>0</v>
      </c>
      <c r="KY4" s="77">
        <f>ROUND(REV!KX6/1000000,0)</f>
        <v>0</v>
      </c>
      <c r="KZ4" s="77">
        <f>ROUND(REV!KY6/1000000,0)</f>
        <v>0</v>
      </c>
      <c r="LA4" s="77">
        <f>ROUND(REV!KZ6/1000000,0)</f>
        <v>0</v>
      </c>
      <c r="LB4" s="77">
        <f>ROUND(REV!LA6/1000000,0)</f>
        <v>0</v>
      </c>
      <c r="LC4" s="77">
        <f>ROUND(REV!LB6/1000000,0)</f>
        <v>0</v>
      </c>
      <c r="LD4" s="77">
        <f>ROUND(REV!LC6/1000000,0)</f>
        <v>0</v>
      </c>
      <c r="LE4" s="77">
        <f>ROUND(REV!LD6/1000000,0)</f>
        <v>0</v>
      </c>
      <c r="LF4" s="77">
        <f>ROUND(REV!LE6/1000000,0)</f>
        <v>0</v>
      </c>
      <c r="LG4" s="77">
        <f>ROUND(REV!LF6/1000000,0)</f>
        <v>0</v>
      </c>
      <c r="LH4" s="77">
        <f>ROUND(REV!LG6/1000000,0)</f>
        <v>0</v>
      </c>
      <c r="LI4" s="77">
        <f>ROUND(REV!LH6/1000000,0)</f>
        <v>0</v>
      </c>
      <c r="LJ4" s="77">
        <f>ROUND(REV!LI6/1000000,0)</f>
        <v>0</v>
      </c>
      <c r="LK4" s="77">
        <f>ROUND(REV!LJ6/1000000,0)</f>
        <v>0</v>
      </c>
      <c r="LL4" s="77">
        <f>ROUND(REV!LK6/1000000,0)</f>
        <v>0</v>
      </c>
      <c r="LM4" s="77">
        <f>ROUND(REV!LL6/1000000,0)</f>
        <v>0</v>
      </c>
      <c r="LN4" s="77">
        <f>ROUND(REV!LM6/1000000,0)</f>
        <v>0</v>
      </c>
      <c r="LO4" s="77">
        <f>ROUND(REV!LN6/1000000,0)</f>
        <v>0</v>
      </c>
      <c r="LP4" s="77">
        <f>ROUND(REV!LO6/1000000,0)</f>
        <v>0</v>
      </c>
      <c r="LQ4" s="77">
        <f>ROUND(REV!LP6/1000000,0)</f>
        <v>0</v>
      </c>
      <c r="LR4" s="77">
        <f>ROUND(REV!LQ6/1000000,0)</f>
        <v>0</v>
      </c>
      <c r="LS4" s="77">
        <f>ROUND(REV!LR6/1000000,0)</f>
        <v>0</v>
      </c>
      <c r="LT4" s="77">
        <f>ROUND(REV!LS6/1000000,0)</f>
        <v>0</v>
      </c>
      <c r="LU4" s="77">
        <f>ROUND(REV!LT6/1000000,0)</f>
        <v>0</v>
      </c>
      <c r="LV4" s="77">
        <f>ROUND(REV!LU6/1000000,0)</f>
        <v>0</v>
      </c>
      <c r="LW4" s="77">
        <f>ROUND(REV!LV6/1000000,0)</f>
        <v>0</v>
      </c>
      <c r="LX4" s="77">
        <f>ROUND(REV!LW6/1000000,0)</f>
        <v>0</v>
      </c>
      <c r="LY4" s="77">
        <f>ROUND(REV!LX6/1000000,0)</f>
        <v>0</v>
      </c>
      <c r="LZ4" s="77">
        <f>ROUND(REV!LY6/1000000,0)</f>
        <v>0</v>
      </c>
      <c r="MA4" s="77">
        <f>ROUND(REV!LZ6/1000000,0)</f>
        <v>0</v>
      </c>
      <c r="MB4" s="77">
        <f>ROUND(REV!MA6/1000000,0)</f>
        <v>0</v>
      </c>
      <c r="MC4" s="77">
        <f>ROUND(REV!MB6/1000000,0)</f>
        <v>0</v>
      </c>
      <c r="MD4" s="77">
        <f>ROUND(REV!MC6/1000000,0)</f>
        <v>0</v>
      </c>
      <c r="ME4" s="77">
        <f>ROUND(REV!MD6/1000000,0)</f>
        <v>0</v>
      </c>
      <c r="MF4" s="77">
        <f>ROUND(REV!ME6/1000000,0)</f>
        <v>0</v>
      </c>
      <c r="MG4" s="77">
        <f>ROUND(REV!MF6/1000000,0)</f>
        <v>0</v>
      </c>
      <c r="MH4" s="77">
        <f>ROUND(REV!MG6/1000000,0)</f>
        <v>0</v>
      </c>
      <c r="MI4" s="77">
        <f>ROUND(REV!MH6/1000000,0)</f>
        <v>0</v>
      </c>
      <c r="MJ4" s="77">
        <f>ROUND(REV!MI6/1000000,0)</f>
        <v>0</v>
      </c>
      <c r="MK4" s="77">
        <f>ROUND(REV!MJ6/1000000,0)</f>
        <v>0</v>
      </c>
      <c r="ML4" s="77">
        <f>ROUND(REV!MK6/1000000,0)</f>
        <v>0</v>
      </c>
      <c r="MM4" s="77">
        <f>ROUND(REV!ML6/1000000,0)</f>
        <v>0</v>
      </c>
      <c r="MN4" s="77">
        <f>ROUND(REV!MM6/1000000,0)</f>
        <v>0</v>
      </c>
      <c r="MO4" s="77">
        <f>ROUND(REV!MN6/1000000,0)</f>
        <v>0</v>
      </c>
      <c r="MP4" s="77">
        <f>ROUND(REV!MO6/1000000,0)</f>
        <v>0</v>
      </c>
      <c r="MQ4" s="77">
        <f>ROUND(REV!MP6/1000000,0)</f>
        <v>0</v>
      </c>
      <c r="MR4" s="77">
        <f>ROUND(REV!MQ6/1000000,0)</f>
        <v>0</v>
      </c>
      <c r="MS4" s="77">
        <f>ROUND(REV!MR6/1000000,0)</f>
        <v>0</v>
      </c>
      <c r="MT4" s="77">
        <f>ROUND(REV!MS6/1000000,0)</f>
        <v>0</v>
      </c>
      <c r="MU4" s="77">
        <f>ROUND(REV!MT6/1000000,0)</f>
        <v>0</v>
      </c>
      <c r="MV4" s="77">
        <f>ROUND(REV!MU6/1000000,0)</f>
        <v>0</v>
      </c>
      <c r="MW4" s="77">
        <f>ROUND(REV!MV6/1000000,0)</f>
        <v>0</v>
      </c>
      <c r="MX4" s="77">
        <f>ROUND(REV!MW6/1000000,0)</f>
        <v>0</v>
      </c>
      <c r="MY4" s="77">
        <f>ROUND(REV!MX6/1000000,0)</f>
        <v>0</v>
      </c>
      <c r="MZ4" s="77">
        <f>ROUND(REV!MY6/1000000,0)</f>
        <v>0</v>
      </c>
      <c r="NA4" s="77">
        <f>ROUND(REV!MZ6/1000000,0)</f>
        <v>0</v>
      </c>
      <c r="NB4" s="77">
        <f>ROUND(REV!NA6/1000000,0)</f>
        <v>0</v>
      </c>
      <c r="NC4" s="77">
        <f>ROUND(REV!NB6/1000000,0)</f>
        <v>0</v>
      </c>
    </row>
    <row r="5" spans="1:372">
      <c r="A5" s="127" t="s">
        <v>12</v>
      </c>
      <c r="B5" s="101">
        <v>1</v>
      </c>
      <c r="C5" s="5"/>
      <c r="D5" s="5"/>
      <c r="E5" s="147" t="s">
        <v>25</v>
      </c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9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47" t="s">
        <v>25</v>
      </c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147" t="s">
        <v>25</v>
      </c>
      <c r="BN5" s="148"/>
      <c r="BO5" s="148"/>
      <c r="BP5" s="148"/>
      <c r="BQ5" s="148"/>
      <c r="BR5" s="148"/>
      <c r="BS5" s="148"/>
      <c r="BT5" s="148"/>
      <c r="BU5" s="148"/>
      <c r="BV5" s="148"/>
      <c r="BW5" s="149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147" t="s">
        <v>25</v>
      </c>
      <c r="CS5" s="148"/>
      <c r="CT5" s="148"/>
      <c r="CU5" s="148"/>
      <c r="CV5" s="148"/>
      <c r="CW5" s="148"/>
      <c r="CX5" s="148"/>
      <c r="CY5" s="148"/>
      <c r="CZ5" s="148"/>
      <c r="DA5" s="148"/>
      <c r="DB5" s="149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147" t="s">
        <v>25</v>
      </c>
      <c r="DW5" s="148"/>
      <c r="DX5" s="148"/>
      <c r="DY5" s="148"/>
      <c r="DZ5" s="148"/>
      <c r="EA5" s="148"/>
      <c r="EB5" s="148"/>
      <c r="EC5" s="148"/>
      <c r="ED5" s="148"/>
      <c r="EE5" s="148"/>
      <c r="EF5" s="149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</row>
    <row r="6" spans="1:372">
      <c r="A6" s="128"/>
      <c r="B6" s="102">
        <v>2</v>
      </c>
      <c r="C6" s="5"/>
      <c r="D6" s="5"/>
      <c r="E6" s="5"/>
      <c r="F6" s="5"/>
      <c r="G6" s="5"/>
      <c r="H6" s="144" t="s">
        <v>508</v>
      </c>
      <c r="I6" s="145"/>
      <c r="J6" s="14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144" t="s">
        <v>22</v>
      </c>
      <c r="AP6" s="145"/>
      <c r="AQ6" s="146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144" t="s">
        <v>22</v>
      </c>
      <c r="BT6" s="145"/>
      <c r="BU6" s="146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144" t="s">
        <v>22</v>
      </c>
      <c r="CV6" s="145"/>
      <c r="CW6" s="146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144" t="s">
        <v>22</v>
      </c>
      <c r="EC6" s="145"/>
      <c r="ED6" s="146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</row>
    <row r="7" spans="1:372" ht="15.75" customHeight="1">
      <c r="A7" s="128"/>
      <c r="B7" s="101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35" t="s">
        <v>509</v>
      </c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7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135" t="s">
        <v>510</v>
      </c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135" t="s">
        <v>511</v>
      </c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135" t="s">
        <v>512</v>
      </c>
      <c r="DM7" s="136"/>
      <c r="DN7" s="136"/>
      <c r="DO7" s="136"/>
      <c r="DP7" s="136"/>
      <c r="DQ7" s="136"/>
      <c r="DR7" s="136"/>
      <c r="DS7" s="136"/>
      <c r="DT7" s="136"/>
      <c r="DU7" s="136"/>
      <c r="DV7" s="136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173" t="s">
        <v>513</v>
      </c>
      <c r="EO7" s="173"/>
      <c r="EP7" s="173"/>
      <c r="EQ7" s="173"/>
      <c r="ER7" s="173"/>
      <c r="ES7" s="173"/>
      <c r="ET7" s="173"/>
      <c r="EU7" s="173"/>
      <c r="EV7" s="173"/>
      <c r="EW7" s="173"/>
      <c r="EX7" s="173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</row>
    <row r="8" spans="1:372" ht="15.75" customHeight="1">
      <c r="A8" s="128"/>
      <c r="B8" s="102">
        <v>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138" t="s">
        <v>514</v>
      </c>
      <c r="AF8" s="139"/>
      <c r="AG8" s="139"/>
      <c r="AH8" s="139"/>
      <c r="AI8" s="139"/>
      <c r="AJ8" s="139"/>
      <c r="AK8" s="139"/>
      <c r="AL8" s="13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138" t="s">
        <v>515</v>
      </c>
      <c r="BT8" s="139"/>
      <c r="BU8" s="139"/>
      <c r="BV8" s="139"/>
      <c r="BW8" s="139"/>
      <c r="BX8" s="139"/>
      <c r="BY8" s="139"/>
      <c r="BZ8" s="139"/>
      <c r="CA8" s="139"/>
      <c r="CB8" s="139"/>
      <c r="CC8" s="140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</row>
    <row r="9" spans="1:372">
      <c r="A9" s="128"/>
      <c r="B9" s="101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138" t="s">
        <v>516</v>
      </c>
      <c r="BP9" s="139"/>
      <c r="BQ9" s="139"/>
      <c r="BR9" s="139"/>
      <c r="BS9" s="139"/>
      <c r="BT9" s="139"/>
      <c r="BU9" s="139"/>
      <c r="BV9" s="140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138" t="s">
        <v>517</v>
      </c>
      <c r="CY9" s="139"/>
      <c r="CZ9" s="139"/>
      <c r="DA9" s="139"/>
      <c r="DB9" s="139"/>
      <c r="DC9" s="139"/>
      <c r="DD9" s="139"/>
      <c r="DE9" s="140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138" t="s">
        <v>517</v>
      </c>
      <c r="ET9" s="139"/>
      <c r="EU9" s="139"/>
      <c r="EV9" s="139"/>
      <c r="EW9" s="139"/>
      <c r="EX9" s="139"/>
      <c r="EY9" s="139"/>
      <c r="EZ9" s="140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</row>
    <row r="10" spans="1:372" ht="15.75" customHeight="1">
      <c r="A10" s="128"/>
      <c r="B10" s="102">
        <v>6</v>
      </c>
      <c r="C10" s="5"/>
      <c r="D10" s="5"/>
      <c r="E10" s="5"/>
      <c r="F10" s="5"/>
      <c r="G10" s="5"/>
      <c r="H10" s="5"/>
      <c r="I10" s="5"/>
      <c r="J10" s="5"/>
      <c r="K10" s="138" t="s">
        <v>518</v>
      </c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138" t="s">
        <v>519</v>
      </c>
      <c r="BD10" s="139"/>
      <c r="BE10" s="139"/>
      <c r="BF10" s="139"/>
      <c r="BG10" s="139"/>
      <c r="BH10" s="139"/>
      <c r="BI10" s="139"/>
      <c r="BJ10" s="139"/>
      <c r="BK10" s="139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138" t="s">
        <v>520</v>
      </c>
      <c r="CP10" s="139"/>
      <c r="CQ10" s="139"/>
      <c r="CR10" s="139"/>
      <c r="CS10" s="139"/>
      <c r="CT10" s="139"/>
      <c r="CU10" s="139"/>
      <c r="CV10" s="139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138" t="s">
        <v>520</v>
      </c>
      <c r="EF10" s="139"/>
      <c r="EG10" s="139"/>
      <c r="EH10" s="139"/>
      <c r="EI10" s="139"/>
      <c r="EJ10" s="139"/>
      <c r="EK10" s="139"/>
      <c r="EL10" s="139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</row>
    <row r="11" spans="1:372" ht="15.75" customHeight="1">
      <c r="A11" s="128"/>
      <c r="B11" s="101">
        <v>7</v>
      </c>
      <c r="C11" s="113" t="s">
        <v>521</v>
      </c>
      <c r="D11" s="114"/>
      <c r="E11" s="114"/>
      <c r="F11" s="114"/>
      <c r="G11" s="114"/>
      <c r="H11" s="114"/>
      <c r="I11" s="114"/>
      <c r="J11" s="114"/>
      <c r="K11" s="5"/>
      <c r="L11" s="5"/>
      <c r="M11" s="5"/>
      <c r="N11" s="5"/>
      <c r="O11" s="5"/>
      <c r="P11" s="5"/>
      <c r="Q11" s="113" t="s">
        <v>522</v>
      </c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5"/>
      <c r="AC11" s="5"/>
      <c r="AD11" s="5"/>
      <c r="AE11" s="5"/>
      <c r="AF11" s="5"/>
      <c r="AG11" s="5"/>
      <c r="AH11" s="5"/>
      <c r="AI11" s="5"/>
      <c r="AJ11" s="5"/>
      <c r="AK11" s="5"/>
      <c r="AL11" s="124" t="s">
        <v>523</v>
      </c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6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113" t="s">
        <v>524</v>
      </c>
      <c r="CB11" s="114"/>
      <c r="CC11" s="114"/>
      <c r="CD11" s="114"/>
      <c r="CE11" s="114"/>
      <c r="CF11" s="114"/>
      <c r="CG11" s="114"/>
      <c r="CH11" s="114"/>
      <c r="CI11" s="114"/>
      <c r="CJ11" s="114"/>
      <c r="CK11" s="114"/>
      <c r="CL11" s="114"/>
      <c r="CM11" s="114"/>
      <c r="CN11" s="114"/>
      <c r="CO11" s="11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</row>
    <row r="12" spans="1:372" ht="15.75" customHeight="1">
      <c r="A12" s="128"/>
      <c r="B12" s="102">
        <v>8</v>
      </c>
      <c r="C12" s="124" t="s">
        <v>525</v>
      </c>
      <c r="D12" s="125"/>
      <c r="E12" s="125"/>
      <c r="F12" s="125"/>
      <c r="G12" s="125"/>
      <c r="H12" s="125"/>
      <c r="I12" s="125"/>
      <c r="J12" s="126"/>
      <c r="K12" s="5"/>
      <c r="L12" s="5"/>
      <c r="M12" s="5"/>
      <c r="N12" s="5"/>
      <c r="O12" s="5"/>
      <c r="P12" s="5"/>
      <c r="Q12" s="124" t="s">
        <v>526</v>
      </c>
      <c r="R12" s="125"/>
      <c r="S12" s="125"/>
      <c r="T12" s="125"/>
      <c r="U12" s="125"/>
      <c r="V12" s="125"/>
      <c r="W12" s="126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133" t="s">
        <v>527</v>
      </c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5"/>
      <c r="BH12" s="130" t="s">
        <v>528</v>
      </c>
      <c r="BI12" s="131"/>
      <c r="BJ12" s="131"/>
      <c r="BK12" s="131"/>
      <c r="BL12" s="131"/>
      <c r="BM12" s="131"/>
      <c r="BN12" s="131"/>
      <c r="BO12" s="132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122" t="s">
        <v>529</v>
      </c>
      <c r="CB12" s="123"/>
      <c r="CC12" s="123"/>
      <c r="CD12" s="123"/>
      <c r="CE12" s="123"/>
      <c r="CF12" s="123"/>
      <c r="CG12" s="123"/>
      <c r="CH12" s="123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113" t="s">
        <v>530</v>
      </c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174" t="s">
        <v>322</v>
      </c>
      <c r="EG12" s="175"/>
      <c r="EH12" s="175"/>
      <c r="EI12" s="175"/>
      <c r="EJ12" s="175"/>
      <c r="EK12" s="175"/>
      <c r="EL12" s="175"/>
      <c r="EM12" s="175"/>
      <c r="EN12" s="175"/>
      <c r="EO12" s="175"/>
      <c r="EP12" s="175"/>
      <c r="EQ12" s="175"/>
      <c r="ER12" s="175"/>
      <c r="ES12" s="175"/>
      <c r="ET12" s="175"/>
      <c r="EU12" s="175"/>
      <c r="EV12" s="175"/>
      <c r="EW12" s="175"/>
      <c r="EX12" s="175"/>
      <c r="EY12" s="175"/>
      <c r="EZ12" s="176"/>
      <c r="FA12" s="5"/>
      <c r="FB12" s="5"/>
      <c r="FC12" s="5"/>
      <c r="FD12" s="5"/>
      <c r="FE12" s="5"/>
      <c r="FF12" s="5"/>
      <c r="FG12" s="5"/>
      <c r="FH12" s="5"/>
      <c r="FI12" s="110" t="s">
        <v>531</v>
      </c>
      <c r="FJ12" s="111"/>
      <c r="FK12" s="111"/>
      <c r="FL12" s="111"/>
      <c r="FM12" s="111"/>
      <c r="FN12" s="111"/>
      <c r="FO12" s="111"/>
      <c r="FP12" s="111"/>
      <c r="FQ12" s="111"/>
      <c r="FR12" s="111"/>
      <c r="FS12" s="111"/>
      <c r="FT12" s="111"/>
      <c r="FU12" s="111"/>
      <c r="FV12" s="111"/>
      <c r="FW12" s="112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110" t="s">
        <v>532</v>
      </c>
      <c r="GQ12" s="111"/>
      <c r="GR12" s="111"/>
      <c r="GS12" s="111"/>
      <c r="GT12" s="111"/>
      <c r="GU12" s="111"/>
      <c r="GV12" s="111"/>
      <c r="GW12" s="112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</row>
    <row r="13" spans="1:372">
      <c r="A13" s="128"/>
      <c r="B13" s="101">
        <v>9</v>
      </c>
      <c r="C13" s="124" t="s">
        <v>533</v>
      </c>
      <c r="D13" s="125"/>
      <c r="E13" s="125"/>
      <c r="F13" s="125"/>
      <c r="G13" s="125"/>
      <c r="H13" s="125"/>
      <c r="I13" s="125"/>
      <c r="J13" s="126"/>
      <c r="K13" s="5"/>
      <c r="L13" s="5"/>
      <c r="M13" s="5"/>
      <c r="N13" s="5"/>
      <c r="O13" s="5"/>
      <c r="P13" s="5"/>
      <c r="Q13" s="5"/>
      <c r="R13" s="5"/>
      <c r="S13" s="5"/>
      <c r="T13" s="5"/>
      <c r="U13" s="124" t="s">
        <v>256</v>
      </c>
      <c r="V13" s="125"/>
      <c r="W13" s="125"/>
      <c r="X13" s="125"/>
      <c r="Y13" s="125"/>
      <c r="Z13" s="125"/>
      <c r="AA13" s="125"/>
      <c r="AB13" s="125"/>
      <c r="AC13" s="126"/>
      <c r="AD13" s="5"/>
      <c r="AE13" s="5"/>
      <c r="AF13" s="5"/>
      <c r="AG13" s="5"/>
      <c r="AH13" s="5"/>
      <c r="AI13" s="5"/>
      <c r="AJ13" s="5"/>
      <c r="AK13" s="5"/>
      <c r="AL13" s="5"/>
      <c r="AM13" s="124" t="s">
        <v>193</v>
      </c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6"/>
      <c r="BG13" s="14"/>
      <c r="BH13" s="163" t="s">
        <v>534</v>
      </c>
      <c r="BI13" s="163"/>
      <c r="BJ13" s="163"/>
      <c r="BK13" s="163"/>
      <c r="BL13" s="163"/>
      <c r="BM13" s="163"/>
      <c r="BN13" s="163"/>
      <c r="BO13" s="163"/>
      <c r="BP13" s="11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122" t="s">
        <v>413</v>
      </c>
      <c r="CB13" s="123"/>
      <c r="CC13" s="123"/>
      <c r="CD13" s="123"/>
      <c r="CE13" s="123"/>
      <c r="CF13" s="123"/>
      <c r="CG13" s="123"/>
      <c r="CH13" s="123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110" t="s">
        <v>535</v>
      </c>
      <c r="DE13" s="111"/>
      <c r="DF13" s="111"/>
      <c r="DG13" s="111"/>
      <c r="DH13" s="111"/>
      <c r="DI13" s="111"/>
      <c r="DJ13" s="112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167" t="s">
        <v>60</v>
      </c>
      <c r="EG13" s="168"/>
      <c r="EH13" s="168"/>
      <c r="EI13" s="168"/>
      <c r="EJ13" s="168"/>
      <c r="EK13" s="168"/>
      <c r="EL13" s="168"/>
      <c r="EM13" s="168"/>
      <c r="EN13" s="168"/>
      <c r="EO13" s="168"/>
      <c r="EP13" s="169"/>
      <c r="EQ13" s="5"/>
      <c r="ER13" s="12"/>
      <c r="ES13" s="5"/>
      <c r="ET13" s="5"/>
      <c r="EU13" s="5"/>
      <c r="EV13" s="5"/>
      <c r="EW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110" t="s">
        <v>536</v>
      </c>
      <c r="GJ13" s="111"/>
      <c r="GK13" s="111"/>
      <c r="GL13" s="111"/>
      <c r="GM13" s="111"/>
      <c r="GN13" s="111"/>
      <c r="GO13" s="111"/>
      <c r="GP13" s="111"/>
      <c r="GQ13" s="111"/>
      <c r="GR13" s="111"/>
      <c r="GS13" s="111"/>
      <c r="GT13" s="111"/>
      <c r="GU13" s="111"/>
      <c r="GV13" s="111"/>
      <c r="GW13" s="112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</row>
    <row r="14" spans="1:372">
      <c r="A14" s="128"/>
      <c r="B14" s="102">
        <v>10</v>
      </c>
      <c r="C14" s="124" t="s">
        <v>20</v>
      </c>
      <c r="D14" s="125"/>
      <c r="E14" s="125"/>
      <c r="F14" s="125"/>
      <c r="G14" s="125"/>
      <c r="H14" s="125"/>
      <c r="I14" s="125"/>
      <c r="J14" s="12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24" t="s">
        <v>537</v>
      </c>
      <c r="W14" s="125"/>
      <c r="X14" s="125"/>
      <c r="Y14" s="125"/>
      <c r="Z14" s="125"/>
      <c r="AA14" s="125"/>
      <c r="AB14" s="125"/>
      <c r="AC14" s="126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124" t="s">
        <v>257</v>
      </c>
      <c r="AX14" s="125"/>
      <c r="AY14" s="125"/>
      <c r="AZ14" s="126"/>
      <c r="BA14" s="5"/>
      <c r="BB14" s="5"/>
      <c r="BC14" s="5"/>
      <c r="BD14" s="5"/>
      <c r="BE14" s="5"/>
      <c r="BF14" s="5"/>
      <c r="BG14" s="14"/>
      <c r="BH14" s="163" t="s">
        <v>538</v>
      </c>
      <c r="BI14" s="163"/>
      <c r="BJ14" s="163"/>
      <c r="BK14" s="163"/>
      <c r="BL14" s="163"/>
      <c r="BM14" s="163"/>
      <c r="BN14" s="163"/>
      <c r="BO14" s="163"/>
      <c r="BP14" s="11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122" t="s">
        <v>424</v>
      </c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6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110" t="s">
        <v>539</v>
      </c>
      <c r="DE14" s="111"/>
      <c r="DF14" s="111"/>
      <c r="DG14" s="111"/>
      <c r="DH14" s="111"/>
      <c r="DI14" s="111"/>
      <c r="DJ14" s="112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167" t="s">
        <v>270</v>
      </c>
      <c r="EL14" s="168"/>
      <c r="EM14" s="168"/>
      <c r="EN14" s="168"/>
      <c r="EO14" s="168"/>
      <c r="EP14" s="168"/>
      <c r="EQ14" s="14"/>
      <c r="ER14" s="108" t="s">
        <v>280</v>
      </c>
      <c r="ES14" s="11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</row>
    <row r="15" spans="1:372" ht="15" customHeight="1">
      <c r="A15" s="128"/>
      <c r="B15" s="101">
        <v>11</v>
      </c>
      <c r="C15" s="124" t="s">
        <v>540</v>
      </c>
      <c r="D15" s="125"/>
      <c r="E15" s="125"/>
      <c r="F15" s="125"/>
      <c r="G15" s="125"/>
      <c r="H15" s="125"/>
      <c r="I15" s="125"/>
      <c r="J15" s="12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124" t="s">
        <v>541</v>
      </c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6"/>
      <c r="BG15" s="14"/>
      <c r="BH15" s="163" t="s">
        <v>542</v>
      </c>
      <c r="BI15" s="163"/>
      <c r="BJ15" s="163"/>
      <c r="BK15" s="163"/>
      <c r="BL15" s="163"/>
      <c r="BM15" s="163"/>
      <c r="BN15" s="163"/>
      <c r="BO15" s="163"/>
      <c r="BP15" s="11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122" t="s">
        <v>434</v>
      </c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6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110" t="s">
        <v>543</v>
      </c>
      <c r="DJ15" s="111"/>
      <c r="DK15" s="111"/>
      <c r="DL15" s="111"/>
      <c r="DM15" s="111"/>
      <c r="DN15" s="111"/>
      <c r="DO15" s="112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167" t="s">
        <v>238</v>
      </c>
      <c r="ES15" s="168"/>
      <c r="ET15" s="168"/>
      <c r="EU15" s="168"/>
      <c r="EV15" s="168"/>
      <c r="EW15" s="168"/>
      <c r="EX15" s="168"/>
      <c r="EY15" s="168"/>
      <c r="EZ15" s="169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</row>
    <row r="16" spans="1:372">
      <c r="A16" s="128"/>
      <c r="B16" s="102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124" t="s">
        <v>227</v>
      </c>
      <c r="AX16" s="125"/>
      <c r="AY16" s="125"/>
      <c r="AZ16" s="125"/>
      <c r="BA16" s="125"/>
      <c r="BB16" s="125"/>
      <c r="BC16" s="125"/>
      <c r="BD16" s="126"/>
      <c r="BE16" s="5"/>
      <c r="BF16" s="5"/>
      <c r="BG16" s="5"/>
      <c r="BH16" s="13"/>
      <c r="BI16" s="13"/>
      <c r="BJ16" s="13"/>
      <c r="BK16" s="13"/>
      <c r="BL16" s="13"/>
      <c r="BM16" s="13"/>
      <c r="BN16" s="13"/>
      <c r="BO16" s="13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122" t="s">
        <v>444</v>
      </c>
      <c r="CB16" s="123"/>
      <c r="CC16" s="123"/>
      <c r="CD16" s="123"/>
      <c r="CE16" s="123"/>
      <c r="CF16" s="123"/>
      <c r="CG16" s="123"/>
      <c r="CH16" s="123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110" t="s">
        <v>544</v>
      </c>
      <c r="DJ16" s="111"/>
      <c r="DK16" s="111"/>
      <c r="DL16" s="111"/>
      <c r="DM16" s="111"/>
      <c r="DN16" s="112"/>
      <c r="DO16" s="113" t="s">
        <v>545</v>
      </c>
      <c r="DP16" s="114"/>
      <c r="DQ16" s="114"/>
      <c r="DR16" s="114"/>
      <c r="DS16" s="114"/>
      <c r="DT16" s="114"/>
      <c r="DU16" s="114"/>
      <c r="DV16" s="114"/>
      <c r="DW16" s="114"/>
      <c r="DX16" s="114"/>
      <c r="DY16" s="114"/>
      <c r="DZ16" s="114"/>
      <c r="EA16" s="115"/>
      <c r="EB16" s="5"/>
      <c r="EC16" s="5"/>
      <c r="ED16" s="5"/>
      <c r="EE16" s="5"/>
      <c r="EF16" s="5"/>
      <c r="EG16" s="5"/>
      <c r="EH16" s="5"/>
      <c r="EI16" s="5"/>
      <c r="EJ16" s="170" t="s">
        <v>413</v>
      </c>
      <c r="EK16" s="171"/>
      <c r="EL16" s="171"/>
      <c r="EM16" s="171"/>
      <c r="EN16" s="171"/>
      <c r="EO16" s="171"/>
      <c r="EP16" s="172"/>
      <c r="EQ16" s="5"/>
      <c r="ER16" s="5"/>
      <c r="ES16" s="5"/>
      <c r="ET16" s="108" t="s">
        <v>252</v>
      </c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</row>
    <row r="17" spans="1:372" ht="15" customHeight="1">
      <c r="A17" s="128"/>
      <c r="B17" s="101">
        <v>13</v>
      </c>
      <c r="C17" s="5"/>
      <c r="D17" s="5"/>
      <c r="E17" s="5"/>
      <c r="F17" s="5"/>
      <c r="G17" s="5"/>
      <c r="H17" s="99" t="s">
        <v>1</v>
      </c>
      <c r="I17" s="5"/>
      <c r="J17" s="100" t="s">
        <v>458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103" t="s">
        <v>546</v>
      </c>
      <c r="AX17" s="104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122" t="s">
        <v>461</v>
      </c>
      <c r="CB17" s="123"/>
      <c r="CC17" s="123"/>
      <c r="CD17" s="123"/>
      <c r="CE17" s="123"/>
      <c r="CF17" s="166"/>
      <c r="CG17" s="166"/>
      <c r="CH17" s="166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110" t="s">
        <v>547</v>
      </c>
      <c r="DP17" s="111"/>
      <c r="DQ17" s="111"/>
      <c r="DR17" s="111"/>
      <c r="DS17" s="111"/>
      <c r="DT17" s="111"/>
      <c r="DU17" s="111"/>
      <c r="DV17" s="112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109" t="s">
        <v>297</v>
      </c>
      <c r="EU17" s="5"/>
      <c r="EV17" s="5"/>
      <c r="EW17" s="5"/>
      <c r="EX17" s="109" t="s">
        <v>189</v>
      </c>
      <c r="EY17" s="5"/>
      <c r="EZ17" s="109" t="s">
        <v>209</v>
      </c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</row>
    <row r="18" spans="1:372" ht="15" customHeight="1">
      <c r="A18" s="128"/>
      <c r="B18" s="101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124" t="s">
        <v>548</v>
      </c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6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113" t="s">
        <v>549</v>
      </c>
      <c r="CG18" s="114"/>
      <c r="CH18" s="114"/>
      <c r="CI18" s="114"/>
      <c r="CJ18" s="114"/>
      <c r="CK18" s="114"/>
      <c r="CL18" s="114"/>
      <c r="CM18" s="114"/>
      <c r="CN18" s="114"/>
      <c r="CO18" s="115"/>
      <c r="CP18" s="12"/>
      <c r="CQ18" s="12"/>
      <c r="CR18" s="12"/>
      <c r="CS18" s="12"/>
      <c r="CT18" s="12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110" t="s">
        <v>550</v>
      </c>
      <c r="DU18" s="111"/>
      <c r="DV18" s="111"/>
      <c r="DW18" s="111"/>
      <c r="DX18" s="111"/>
      <c r="DY18" s="111"/>
      <c r="DZ18" s="111"/>
      <c r="EA18" s="112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</row>
    <row r="19" spans="1:372" ht="15" customHeight="1">
      <c r="A19" s="128"/>
      <c r="B19" s="102">
        <v>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124" t="s">
        <v>245</v>
      </c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6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122" t="s">
        <v>551</v>
      </c>
      <c r="CG19" s="123"/>
      <c r="CH19" s="123"/>
      <c r="CI19" s="123"/>
      <c r="CJ19" s="123"/>
      <c r="CK19" s="123"/>
      <c r="CL19" s="123"/>
      <c r="CM19" s="123"/>
      <c r="CN19" s="123"/>
      <c r="CO19" s="123"/>
      <c r="CP19" s="14"/>
      <c r="CQ19" s="5"/>
      <c r="CR19" s="5"/>
      <c r="CS19" s="5"/>
      <c r="CT19" s="5"/>
      <c r="CU19" s="11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110" t="s">
        <v>552</v>
      </c>
      <c r="DP19" s="111"/>
      <c r="DQ19" s="111"/>
      <c r="DR19" s="111"/>
      <c r="DS19" s="111"/>
      <c r="DT19" s="111"/>
      <c r="DU19" s="111"/>
      <c r="DV19" s="111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</row>
    <row r="20" spans="1:372">
      <c r="A20" s="128"/>
      <c r="B20" s="101">
        <v>16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124" t="s">
        <v>553</v>
      </c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6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122" t="s">
        <v>554</v>
      </c>
      <c r="CG20" s="123"/>
      <c r="CH20" s="123"/>
      <c r="CI20" s="123"/>
      <c r="CJ20" s="123"/>
      <c r="CK20" s="123"/>
      <c r="CL20" s="123"/>
      <c r="CM20" s="123"/>
      <c r="CN20" s="123"/>
      <c r="CO20" s="123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110" t="s">
        <v>555</v>
      </c>
      <c r="DP20" s="111"/>
      <c r="DQ20" s="111"/>
      <c r="DR20" s="111"/>
      <c r="DS20" s="111"/>
      <c r="DT20" s="111"/>
      <c r="DU20" s="111"/>
      <c r="DV20" s="111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</row>
    <row r="21" spans="1:372" ht="15" customHeight="1">
      <c r="A21" s="128"/>
      <c r="B21" s="102">
        <v>17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133" t="s">
        <v>556</v>
      </c>
      <c r="AS21" s="134"/>
      <c r="AT21" s="134"/>
      <c r="AU21" s="134"/>
      <c r="AV21" s="134"/>
      <c r="AW21" s="134"/>
      <c r="AX21" s="134"/>
      <c r="AY21" s="164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122" t="s">
        <v>557</v>
      </c>
      <c r="CG21" s="123"/>
      <c r="CH21" s="123"/>
      <c r="CI21" s="123"/>
      <c r="CJ21" s="123"/>
      <c r="CK21" s="123"/>
      <c r="CL21" s="123"/>
      <c r="CM21" s="123"/>
      <c r="CN21" s="123"/>
      <c r="CO21" s="123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110" t="s">
        <v>291</v>
      </c>
      <c r="DP21" s="111"/>
      <c r="DQ21" s="111"/>
      <c r="DR21" s="111"/>
      <c r="DS21" s="111"/>
      <c r="DT21" s="111"/>
      <c r="DU21" s="111"/>
      <c r="DV21" s="111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</row>
    <row r="22" spans="1:372">
      <c r="A22" s="128"/>
      <c r="B22" s="101">
        <v>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124" t="s">
        <v>558</v>
      </c>
      <c r="AS22" s="125"/>
      <c r="AT22" s="125"/>
      <c r="AU22" s="125"/>
      <c r="AV22" s="125"/>
      <c r="AW22" s="125"/>
      <c r="AX22" s="125"/>
      <c r="AY22" s="126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122" t="s">
        <v>559</v>
      </c>
      <c r="CK22" s="123"/>
      <c r="CL22" s="123"/>
      <c r="CM22" s="123"/>
      <c r="CN22" s="123"/>
      <c r="CO22" s="16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</row>
    <row r="23" spans="1:372">
      <c r="A23" s="128"/>
      <c r="B23" s="102">
        <v>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124" t="s">
        <v>560</v>
      </c>
      <c r="AS23" s="125"/>
      <c r="AT23" s="125"/>
      <c r="AU23" s="125"/>
      <c r="AV23" s="125"/>
      <c r="AW23" s="125"/>
      <c r="AX23" s="125"/>
      <c r="AY23" s="126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</row>
    <row r="24" spans="1:372">
      <c r="A24" s="128"/>
      <c r="B24" s="101">
        <v>20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10" t="s">
        <v>479</v>
      </c>
      <c r="AR24" s="5"/>
      <c r="AS24" s="5"/>
      <c r="AT24" s="5"/>
      <c r="AU24" s="5"/>
      <c r="AV24" s="5"/>
      <c r="AW24" s="124" t="s">
        <v>561</v>
      </c>
      <c r="AX24" s="125"/>
      <c r="AY24" s="125"/>
      <c r="AZ24" s="125"/>
      <c r="BA24" s="125"/>
      <c r="BB24" s="125"/>
      <c r="BC24" s="125"/>
      <c r="BD24" s="5"/>
      <c r="BE24" s="5"/>
      <c r="BF24" s="5"/>
      <c r="BG24" s="5"/>
      <c r="BH24" s="10" t="s">
        <v>480</v>
      </c>
      <c r="BI24" s="5"/>
      <c r="BJ24" s="5"/>
      <c r="BK24" s="5"/>
      <c r="BL24" s="5"/>
      <c r="BM24" s="5"/>
      <c r="BN24" s="10" t="s">
        <v>481</v>
      </c>
      <c r="BO24" s="5"/>
      <c r="BP24" s="5"/>
      <c r="BQ24" s="5"/>
      <c r="BR24" s="5"/>
      <c r="BS24" s="5"/>
      <c r="BT24" s="10" t="s">
        <v>482</v>
      </c>
      <c r="BU24" s="5"/>
      <c r="BV24" s="5"/>
      <c r="BW24" s="5"/>
      <c r="BX24" s="5"/>
      <c r="BY24" s="5"/>
      <c r="BZ24" s="5"/>
      <c r="CA24" s="10" t="s">
        <v>562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</row>
    <row r="25" spans="1:372">
      <c r="A25" s="129"/>
      <c r="B25" s="102">
        <v>21</v>
      </c>
      <c r="C25" s="5"/>
      <c r="D25" s="5"/>
      <c r="E25" s="5"/>
      <c r="F25" s="5"/>
      <c r="G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</row>
    <row r="26" spans="1:372">
      <c r="A26" s="119" t="s">
        <v>94</v>
      </c>
      <c r="B26" s="101">
        <v>22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</row>
    <row r="27" spans="1:372">
      <c r="A27" s="120"/>
      <c r="B27" s="102">
        <v>23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</row>
    <row r="28" spans="1:372">
      <c r="A28" s="121"/>
      <c r="B28" s="101">
        <v>24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</row>
    <row r="29" spans="1:372">
      <c r="A29" s="117" t="s">
        <v>99</v>
      </c>
      <c r="B29" s="102">
        <v>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</row>
    <row r="30" spans="1:372">
      <c r="A30" s="117"/>
      <c r="B30" s="101">
        <v>26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</row>
    <row r="31" spans="1:372">
      <c r="A31" s="117"/>
      <c r="B31" s="102">
        <v>27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</row>
    <row r="32" spans="1:372">
      <c r="A32" s="118"/>
      <c r="B32" s="101">
        <v>28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</row>
    <row r="33" spans="1:372">
      <c r="A33" s="116" t="s">
        <v>109</v>
      </c>
      <c r="B33" s="102">
        <v>29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</row>
    <row r="34" spans="1:372">
      <c r="A34" s="117"/>
      <c r="B34" s="101">
        <v>30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</row>
    <row r="35" spans="1:372">
      <c r="A35" s="117"/>
      <c r="B35" s="102">
        <v>31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</row>
    <row r="36" spans="1:372">
      <c r="A36" s="118"/>
      <c r="B36" s="101">
        <v>32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</row>
    <row r="37" spans="1:372">
      <c r="A37" s="116" t="s">
        <v>115</v>
      </c>
      <c r="B37" s="102">
        <v>33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</row>
    <row r="38" spans="1:372">
      <c r="A38" s="117"/>
      <c r="B38" s="101">
        <v>34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</row>
    <row r="39" spans="1:372">
      <c r="A39" s="117"/>
      <c r="B39" s="102">
        <v>35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</row>
    <row r="40" spans="1:372">
      <c r="A40" s="117"/>
      <c r="B40" s="101">
        <v>36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</row>
    <row r="41" spans="1:372">
      <c r="A41" s="118"/>
      <c r="B41" s="102">
        <v>37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</row>
  </sheetData>
  <mergeCells count="102">
    <mergeCell ref="FI12:FW12"/>
    <mergeCell ref="GP12:GW12"/>
    <mergeCell ref="GI13:GW13"/>
    <mergeCell ref="EJ16:EP16"/>
    <mergeCell ref="EK14:EP14"/>
    <mergeCell ref="EB6:ED6"/>
    <mergeCell ref="EE10:EL10"/>
    <mergeCell ref="EN7:EX7"/>
    <mergeCell ref="ER15:EZ15"/>
    <mergeCell ref="ES9:EZ9"/>
    <mergeCell ref="EF12:EZ12"/>
    <mergeCell ref="BC10:BK10"/>
    <mergeCell ref="CO10:CV10"/>
    <mergeCell ref="BS6:BU6"/>
    <mergeCell ref="CU6:CW6"/>
    <mergeCell ref="CX9:DE9"/>
    <mergeCell ref="DL7:DV7"/>
    <mergeCell ref="CH7:CR7"/>
    <mergeCell ref="EF13:EP13"/>
    <mergeCell ref="DD12:DO12"/>
    <mergeCell ref="BO9:BV9"/>
    <mergeCell ref="CR5:DB5"/>
    <mergeCell ref="DV5:EF5"/>
    <mergeCell ref="LY1:NC1"/>
    <mergeCell ref="A2:B2"/>
    <mergeCell ref="A3:B3"/>
    <mergeCell ref="A4:B4"/>
    <mergeCell ref="EX1:GA1"/>
    <mergeCell ref="GB1:HF1"/>
    <mergeCell ref="HG1:IK1"/>
    <mergeCell ref="IL1:JO1"/>
    <mergeCell ref="JP1:KT1"/>
    <mergeCell ref="KU1:LX1"/>
    <mergeCell ref="A1:B1"/>
    <mergeCell ref="DS1:EW1"/>
    <mergeCell ref="CO1:DR1"/>
    <mergeCell ref="BJ1:CN1"/>
    <mergeCell ref="BM5:BW5"/>
    <mergeCell ref="C1:AG1"/>
    <mergeCell ref="H6:J6"/>
    <mergeCell ref="A29:A32"/>
    <mergeCell ref="C15:J15"/>
    <mergeCell ref="C12:J12"/>
    <mergeCell ref="AE8:AL8"/>
    <mergeCell ref="E5:Q5"/>
    <mergeCell ref="AH5:AR5"/>
    <mergeCell ref="AO6:AQ6"/>
    <mergeCell ref="AH1:BI1"/>
    <mergeCell ref="BG7:BQ7"/>
    <mergeCell ref="Q12:W12"/>
    <mergeCell ref="Q11:AB11"/>
    <mergeCell ref="U13:AC13"/>
    <mergeCell ref="V14:AC14"/>
    <mergeCell ref="BH15:BO15"/>
    <mergeCell ref="AW24:BC24"/>
    <mergeCell ref="AR22:AY22"/>
    <mergeCell ref="AR21:AY21"/>
    <mergeCell ref="AW16:BD16"/>
    <mergeCell ref="AR15:BF15"/>
    <mergeCell ref="AM19:BF19"/>
    <mergeCell ref="AM20:BF20"/>
    <mergeCell ref="AM13:BF13"/>
    <mergeCell ref="CA11:CO11"/>
    <mergeCell ref="AR23:AY23"/>
    <mergeCell ref="A5:A25"/>
    <mergeCell ref="BH12:BO12"/>
    <mergeCell ref="C14:J14"/>
    <mergeCell ref="AW14:AZ14"/>
    <mergeCell ref="AR12:BF12"/>
    <mergeCell ref="C13:J13"/>
    <mergeCell ref="C11:J11"/>
    <mergeCell ref="AP18:BD18"/>
    <mergeCell ref="Z7:AL7"/>
    <mergeCell ref="K10:U10"/>
    <mergeCell ref="CF18:CO18"/>
    <mergeCell ref="CJ22:CO22"/>
    <mergeCell ref="CA17:CH17"/>
    <mergeCell ref="CA16:CH16"/>
    <mergeCell ref="CA14:CO14"/>
    <mergeCell ref="CA15:CO15"/>
    <mergeCell ref="BS8:CC8"/>
    <mergeCell ref="BH13:BO13"/>
    <mergeCell ref="BH14:BO14"/>
    <mergeCell ref="CA12:CH12"/>
    <mergeCell ref="CA13:CH13"/>
    <mergeCell ref="AL11:BC11"/>
    <mergeCell ref="DO21:DV21"/>
    <mergeCell ref="DD13:DJ13"/>
    <mergeCell ref="DD14:DJ14"/>
    <mergeCell ref="DI15:DO15"/>
    <mergeCell ref="DI16:DN16"/>
    <mergeCell ref="DO16:EA16"/>
    <mergeCell ref="DO17:DV17"/>
    <mergeCell ref="A37:A41"/>
    <mergeCell ref="A26:A28"/>
    <mergeCell ref="A33:A36"/>
    <mergeCell ref="CF21:CO21"/>
    <mergeCell ref="CF20:CO20"/>
    <mergeCell ref="CF19:CO19"/>
    <mergeCell ref="DT18:EA18"/>
    <mergeCell ref="DO19:DV19"/>
    <mergeCell ref="DO20:DV20"/>
  </mergeCells>
  <conditionalFormatting sqref="C4:N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2E92-BE7D-4E78-B436-538D20E01031}">
  <dimension ref="A1:NC6"/>
  <sheetViews>
    <sheetView topLeftCell="CE1" workbookViewId="0">
      <selection activeCell="CU6" sqref="CU6"/>
    </sheetView>
  </sheetViews>
  <sheetFormatPr defaultRowHeight="15"/>
  <cols>
    <col min="1" max="1" width="5" bestFit="1" customWidth="1"/>
    <col min="2" max="3" width="11.7109375" bestFit="1" customWidth="1"/>
    <col min="4" max="4" width="13.28515625" bestFit="1" customWidth="1"/>
    <col min="5" max="9" width="11.7109375" bestFit="1" customWidth="1"/>
    <col min="10" max="10" width="13.28515625" bestFit="1" customWidth="1"/>
    <col min="11" max="18" width="11.7109375" bestFit="1" customWidth="1"/>
    <col min="19" max="19" width="13.28515625" bestFit="1" customWidth="1"/>
    <col min="20" max="23" width="11.7109375" bestFit="1" customWidth="1"/>
    <col min="24" max="24" width="11.5703125" customWidth="1"/>
    <col min="25" max="26" width="11.7109375" bestFit="1" customWidth="1"/>
    <col min="27" max="31" width="10.5703125" bestFit="1" customWidth="1"/>
    <col min="32" max="39" width="11.7109375" bestFit="1" customWidth="1"/>
    <col min="40" max="40" width="13.28515625" bestFit="1" customWidth="1"/>
    <col min="41" max="41" width="11.7109375" bestFit="1" customWidth="1"/>
    <col min="42" max="42" width="10.5703125" bestFit="1" customWidth="1"/>
    <col min="43" max="49" width="11.7109375" bestFit="1" customWidth="1"/>
    <col min="50" max="51" width="10.5703125" bestFit="1" customWidth="1"/>
    <col min="52" max="52" width="13.28515625" bestFit="1" customWidth="1"/>
    <col min="53" max="53" width="11.7109375" bestFit="1" customWidth="1"/>
    <col min="54" max="59" width="10.5703125" bestFit="1" customWidth="1"/>
    <col min="60" max="60" width="11.7109375" bestFit="1" customWidth="1"/>
    <col min="61" max="61" width="10.5703125" bestFit="1" customWidth="1"/>
    <col min="62" max="63" width="11.7109375" bestFit="1" customWidth="1"/>
    <col min="64" max="64" width="13.28515625" bestFit="1" customWidth="1"/>
    <col min="65" max="72" width="11.7109375" bestFit="1" customWidth="1"/>
    <col min="73" max="73" width="13.28515625" bestFit="1" customWidth="1"/>
    <col min="74" max="82" width="11.7109375" bestFit="1" customWidth="1"/>
    <col min="83" max="83" width="13.28515625" bestFit="1" customWidth="1"/>
    <col min="84" max="84" width="14.42578125" bestFit="1" customWidth="1"/>
    <col min="85" max="90" width="11.7109375" bestFit="1" customWidth="1"/>
    <col min="91" max="91" width="13.28515625" bestFit="1" customWidth="1"/>
    <col min="92" max="92" width="11.7109375" bestFit="1" customWidth="1"/>
    <col min="93" max="101" width="13.28515625" bestFit="1" customWidth="1"/>
    <col min="102" max="105" width="11.7109375" bestFit="1" customWidth="1"/>
    <col min="106" max="106" width="10.5703125" bestFit="1" customWidth="1"/>
    <col min="107" max="107" width="11.7109375" bestFit="1" customWidth="1"/>
    <col min="108" max="109" width="10.5703125" bestFit="1" customWidth="1"/>
    <col min="110" max="110" width="11.7109375" bestFit="1" customWidth="1"/>
    <col min="111" max="111" width="10.5703125" bestFit="1" customWidth="1"/>
    <col min="112" max="113" width="11.7109375" bestFit="1" customWidth="1"/>
    <col min="114" max="115" width="10.5703125" bestFit="1" customWidth="1"/>
    <col min="116" max="116" width="13.28515625" bestFit="1" customWidth="1"/>
    <col min="117" max="118" width="10.5703125" bestFit="1" customWidth="1"/>
    <col min="119" max="122" width="11.7109375" bestFit="1" customWidth="1"/>
    <col min="123" max="124" width="13.28515625" bestFit="1" customWidth="1"/>
    <col min="125" max="134" width="11.7109375" bestFit="1" customWidth="1"/>
    <col min="135" max="135" width="10.5703125" bestFit="1" customWidth="1"/>
    <col min="136" max="136" width="11.7109375" bestFit="1" customWidth="1"/>
    <col min="137" max="138" width="10.5703125" bestFit="1" customWidth="1"/>
    <col min="139" max="139" width="11.7109375" bestFit="1" customWidth="1"/>
    <col min="140" max="142" width="10.5703125" bestFit="1" customWidth="1"/>
    <col min="143" max="143" width="11.7109375" bestFit="1" customWidth="1"/>
    <col min="144" max="150" width="10.5703125" bestFit="1" customWidth="1"/>
    <col min="151" max="151" width="11.7109375" bestFit="1" customWidth="1"/>
    <col min="152" max="155" width="10.5703125" bestFit="1" customWidth="1"/>
    <col min="156" max="159" width="11.7109375" bestFit="1" customWidth="1"/>
    <col min="160" max="160" width="10.5703125" bestFit="1" customWidth="1"/>
    <col min="161" max="161" width="11.7109375" bestFit="1" customWidth="1"/>
    <col min="162" max="162" width="10.5703125" bestFit="1" customWidth="1"/>
    <col min="163" max="164" width="11.7109375" bestFit="1" customWidth="1"/>
    <col min="165" max="165" width="13.28515625" bestFit="1" customWidth="1"/>
    <col min="166" max="170" width="11.7109375" bestFit="1" customWidth="1"/>
    <col min="171" max="171" width="13.28515625" bestFit="1" customWidth="1"/>
    <col min="172" max="177" width="11.7109375" bestFit="1" customWidth="1"/>
    <col min="178" max="178" width="12.140625" bestFit="1" customWidth="1"/>
    <col min="179" max="179" width="11.7109375" bestFit="1" customWidth="1"/>
    <col min="180" max="181" width="12.140625" bestFit="1" customWidth="1"/>
    <col min="182" max="182" width="11.7109375" bestFit="1" customWidth="1"/>
    <col min="183" max="185" width="10.5703125" bestFit="1" customWidth="1"/>
    <col min="186" max="188" width="11.7109375" bestFit="1" customWidth="1"/>
    <col min="189" max="189" width="13.28515625" bestFit="1" customWidth="1"/>
    <col min="190" max="190" width="11.7109375" bestFit="1" customWidth="1"/>
    <col min="191" max="192" width="13.28515625" bestFit="1" customWidth="1"/>
    <col min="193" max="201" width="11.7109375" bestFit="1" customWidth="1"/>
    <col min="202" max="202" width="13.28515625" bestFit="1" customWidth="1"/>
    <col min="203" max="209" width="11.7109375" bestFit="1" customWidth="1"/>
    <col min="210" max="210" width="13.28515625" bestFit="1" customWidth="1"/>
    <col min="211" max="213" width="11.7109375" bestFit="1" customWidth="1"/>
    <col min="214" max="226" width="13.28515625" bestFit="1" customWidth="1"/>
    <col min="227" max="231" width="11.7109375" bestFit="1" customWidth="1"/>
    <col min="232" max="232" width="13.28515625" bestFit="1" customWidth="1"/>
    <col min="233" max="236" width="11.7109375" bestFit="1" customWidth="1"/>
    <col min="237" max="237" width="13.28515625" bestFit="1" customWidth="1"/>
    <col min="238" max="242" width="11.7109375" bestFit="1" customWidth="1"/>
    <col min="243" max="243" width="13.28515625" bestFit="1" customWidth="1"/>
    <col min="244" max="244" width="11.7109375" bestFit="1" customWidth="1"/>
    <col min="245" max="246" width="13.28515625" bestFit="1" customWidth="1"/>
    <col min="247" max="247" width="11.7109375" bestFit="1" customWidth="1"/>
    <col min="248" max="251" width="13.28515625" bestFit="1" customWidth="1"/>
    <col min="252" max="254" width="11.7109375" bestFit="1" customWidth="1"/>
    <col min="255" max="259" width="13.28515625" bestFit="1" customWidth="1"/>
    <col min="260" max="260" width="11.7109375" bestFit="1" customWidth="1"/>
    <col min="261" max="261" width="13.28515625" bestFit="1" customWidth="1"/>
    <col min="262" max="269" width="11.7109375" bestFit="1" customWidth="1"/>
    <col min="270" max="270" width="13.28515625" bestFit="1" customWidth="1"/>
    <col min="271" max="276" width="11.7109375" bestFit="1" customWidth="1"/>
    <col min="277" max="277" width="13.28515625" bestFit="1" customWidth="1"/>
    <col min="278" max="282" width="11.7109375" bestFit="1" customWidth="1"/>
    <col min="283" max="283" width="13.28515625" bestFit="1" customWidth="1"/>
    <col min="284" max="284" width="11.7109375" bestFit="1" customWidth="1"/>
    <col min="285" max="285" width="10.5703125" bestFit="1" customWidth="1"/>
    <col min="286" max="286" width="13.28515625" bestFit="1" customWidth="1"/>
    <col min="287" max="288" width="11.7109375" bestFit="1" customWidth="1"/>
    <col min="289" max="289" width="10.5703125" bestFit="1" customWidth="1"/>
    <col min="290" max="293" width="11.7109375" bestFit="1" customWidth="1"/>
    <col min="294" max="297" width="10.5703125" bestFit="1" customWidth="1"/>
    <col min="298" max="302" width="11.7109375" bestFit="1" customWidth="1"/>
    <col min="303" max="303" width="10.5703125" bestFit="1" customWidth="1"/>
    <col min="304" max="309" width="11.7109375" bestFit="1" customWidth="1"/>
    <col min="310" max="313" width="13.28515625" bestFit="1" customWidth="1"/>
    <col min="314" max="314" width="11.7109375" bestFit="1" customWidth="1"/>
    <col min="315" max="315" width="13.28515625" bestFit="1" customWidth="1"/>
    <col min="316" max="318" width="11.7109375" bestFit="1" customWidth="1"/>
    <col min="319" max="320" width="10.5703125" bestFit="1" customWidth="1"/>
    <col min="321" max="325" width="11.7109375" bestFit="1" customWidth="1"/>
    <col min="326" max="326" width="13.28515625" bestFit="1" customWidth="1"/>
    <col min="327" max="332" width="11.7109375" bestFit="1" customWidth="1"/>
    <col min="333" max="337" width="10.5703125" bestFit="1" customWidth="1"/>
    <col min="338" max="339" width="11.7109375" bestFit="1" customWidth="1"/>
    <col min="340" max="340" width="13.85546875" bestFit="1" customWidth="1"/>
    <col min="341" max="341" width="13.28515625" bestFit="1" customWidth="1"/>
    <col min="342" max="342" width="11.7109375" bestFit="1" customWidth="1"/>
    <col min="343" max="344" width="10.5703125" bestFit="1" customWidth="1"/>
    <col min="345" max="345" width="11.7109375" bestFit="1" customWidth="1"/>
    <col min="346" max="346" width="13.28515625" bestFit="1" customWidth="1"/>
    <col min="347" max="357" width="11.7109375" bestFit="1" customWidth="1"/>
    <col min="358" max="358" width="10.5703125" bestFit="1" customWidth="1"/>
    <col min="359" max="366" width="11.7109375" bestFit="1" customWidth="1"/>
    <col min="367" max="367" width="10.5703125" bestFit="1" customWidth="1"/>
  </cols>
  <sheetData>
    <row r="1" spans="1:367">
      <c r="A1" t="s">
        <v>563</v>
      </c>
      <c r="B1">
        <v>20240101</v>
      </c>
      <c r="C1">
        <v>20240102</v>
      </c>
      <c r="D1">
        <v>20240103</v>
      </c>
      <c r="E1">
        <v>20240104</v>
      </c>
      <c r="F1">
        <v>20240105</v>
      </c>
      <c r="G1">
        <v>20240106</v>
      </c>
      <c r="H1">
        <v>20240107</v>
      </c>
      <c r="I1">
        <v>20240108</v>
      </c>
      <c r="J1">
        <v>20240109</v>
      </c>
      <c r="K1">
        <v>20240110</v>
      </c>
      <c r="L1">
        <v>20240111</v>
      </c>
      <c r="M1">
        <v>20240112</v>
      </c>
      <c r="N1">
        <v>20240113</v>
      </c>
      <c r="O1">
        <v>20240114</v>
      </c>
      <c r="P1">
        <v>20240115</v>
      </c>
      <c r="Q1">
        <v>20240116</v>
      </c>
      <c r="R1">
        <v>20240117</v>
      </c>
      <c r="S1">
        <v>20240118</v>
      </c>
      <c r="T1">
        <v>20240119</v>
      </c>
      <c r="U1">
        <v>20240120</v>
      </c>
      <c r="V1">
        <v>20240121</v>
      </c>
      <c r="W1">
        <v>20240122</v>
      </c>
      <c r="X1">
        <v>20240123</v>
      </c>
      <c r="Y1">
        <v>20240124</v>
      </c>
      <c r="Z1">
        <v>20240125</v>
      </c>
      <c r="AA1">
        <v>20240126</v>
      </c>
      <c r="AB1">
        <v>20240127</v>
      </c>
      <c r="AC1">
        <v>20240128</v>
      </c>
      <c r="AD1">
        <v>20240129</v>
      </c>
      <c r="AE1">
        <v>20240130</v>
      </c>
      <c r="AF1">
        <v>20240131</v>
      </c>
      <c r="AG1">
        <v>20240201</v>
      </c>
      <c r="AH1">
        <v>20240202</v>
      </c>
      <c r="AI1">
        <v>20240203</v>
      </c>
      <c r="AJ1">
        <v>20240204</v>
      </c>
      <c r="AK1">
        <v>20240205</v>
      </c>
      <c r="AL1">
        <v>20240206</v>
      </c>
      <c r="AM1">
        <v>20240207</v>
      </c>
      <c r="AN1">
        <v>20240208</v>
      </c>
      <c r="AO1">
        <v>20240209</v>
      </c>
      <c r="AP1">
        <v>20240210</v>
      </c>
      <c r="AQ1">
        <v>20240211</v>
      </c>
      <c r="AR1">
        <v>20240212</v>
      </c>
      <c r="AS1">
        <v>20240213</v>
      </c>
      <c r="AT1">
        <v>20240214</v>
      </c>
      <c r="AU1">
        <v>20240215</v>
      </c>
      <c r="AV1">
        <v>20240216</v>
      </c>
      <c r="AW1">
        <v>20240217</v>
      </c>
      <c r="AX1">
        <v>20240218</v>
      </c>
      <c r="AY1">
        <v>20240219</v>
      </c>
      <c r="AZ1">
        <v>20240220</v>
      </c>
      <c r="BA1">
        <v>20240221</v>
      </c>
      <c r="BB1">
        <v>20240222</v>
      </c>
      <c r="BC1">
        <v>20240223</v>
      </c>
      <c r="BD1">
        <v>20240224</v>
      </c>
      <c r="BE1">
        <v>20240225</v>
      </c>
      <c r="BF1">
        <v>20240226</v>
      </c>
      <c r="BG1">
        <v>20240227</v>
      </c>
      <c r="BH1">
        <v>20240228</v>
      </c>
      <c r="BI1">
        <v>20240229</v>
      </c>
      <c r="BJ1">
        <v>20240301</v>
      </c>
      <c r="BK1">
        <v>20240302</v>
      </c>
      <c r="BL1">
        <v>20240303</v>
      </c>
      <c r="BM1">
        <v>20240304</v>
      </c>
      <c r="BN1">
        <v>20240305</v>
      </c>
      <c r="BO1">
        <v>20240306</v>
      </c>
      <c r="BP1">
        <v>20240307</v>
      </c>
      <c r="BQ1">
        <v>20240308</v>
      </c>
      <c r="BR1">
        <v>20240309</v>
      </c>
      <c r="BS1">
        <v>20240310</v>
      </c>
      <c r="BT1">
        <v>20240311</v>
      </c>
      <c r="BU1">
        <v>20240312</v>
      </c>
      <c r="BV1">
        <v>20240313</v>
      </c>
      <c r="BW1">
        <v>20240314</v>
      </c>
      <c r="BX1">
        <v>20240315</v>
      </c>
      <c r="BY1">
        <v>20240316</v>
      </c>
      <c r="BZ1">
        <v>20240317</v>
      </c>
      <c r="CA1">
        <v>20240318</v>
      </c>
      <c r="CB1">
        <v>20240319</v>
      </c>
      <c r="CC1">
        <v>20240320</v>
      </c>
      <c r="CD1">
        <v>20240321</v>
      </c>
      <c r="CE1">
        <v>20240322</v>
      </c>
      <c r="CF1">
        <v>20240323</v>
      </c>
      <c r="CG1">
        <v>20240324</v>
      </c>
      <c r="CH1">
        <v>20240325</v>
      </c>
      <c r="CI1">
        <v>20240326</v>
      </c>
      <c r="CJ1">
        <v>20240327</v>
      </c>
      <c r="CK1">
        <v>20240328</v>
      </c>
      <c r="CL1">
        <v>20240329</v>
      </c>
      <c r="CM1">
        <v>20240330</v>
      </c>
      <c r="CN1">
        <v>20240331</v>
      </c>
      <c r="CO1">
        <v>20240401</v>
      </c>
      <c r="CP1">
        <v>20240402</v>
      </c>
      <c r="CQ1">
        <v>20240403</v>
      </c>
      <c r="CR1">
        <v>20240404</v>
      </c>
      <c r="CS1">
        <v>20240405</v>
      </c>
      <c r="CT1">
        <v>20240406</v>
      </c>
      <c r="CU1">
        <v>20240407</v>
      </c>
      <c r="CV1">
        <v>20240408</v>
      </c>
      <c r="CW1">
        <v>20240409</v>
      </c>
      <c r="CX1">
        <v>20240410</v>
      </c>
      <c r="CY1">
        <v>20240411</v>
      </c>
      <c r="CZ1">
        <v>20240412</v>
      </c>
      <c r="DA1">
        <v>20240413</v>
      </c>
      <c r="DB1">
        <v>20240414</v>
      </c>
      <c r="DC1">
        <v>20240415</v>
      </c>
      <c r="DD1">
        <v>20240416</v>
      </c>
      <c r="DE1">
        <v>20240417</v>
      </c>
      <c r="DF1">
        <v>20240418</v>
      </c>
      <c r="DG1">
        <v>20240419</v>
      </c>
      <c r="DH1">
        <v>20240420</v>
      </c>
      <c r="DI1">
        <v>20240421</v>
      </c>
      <c r="DJ1">
        <v>20240422</v>
      </c>
      <c r="DK1">
        <v>20240423</v>
      </c>
      <c r="DL1">
        <v>20240424</v>
      </c>
      <c r="DM1">
        <v>20240425</v>
      </c>
      <c r="DN1">
        <v>20240426</v>
      </c>
      <c r="DO1">
        <v>20240427</v>
      </c>
      <c r="DP1">
        <v>20240428</v>
      </c>
      <c r="DQ1">
        <v>20240429</v>
      </c>
      <c r="DR1">
        <v>20240430</v>
      </c>
      <c r="DS1">
        <v>20240501</v>
      </c>
      <c r="DT1">
        <v>20240502</v>
      </c>
      <c r="DU1">
        <v>20240503</v>
      </c>
      <c r="DV1">
        <v>20240504</v>
      </c>
      <c r="DW1">
        <v>20240505</v>
      </c>
      <c r="DX1">
        <v>20240506</v>
      </c>
      <c r="DY1">
        <v>20240507</v>
      </c>
      <c r="DZ1">
        <v>20240508</v>
      </c>
      <c r="EA1">
        <v>20240509</v>
      </c>
      <c r="EB1">
        <v>20240510</v>
      </c>
      <c r="EC1">
        <v>20240511</v>
      </c>
      <c r="ED1">
        <v>20240512</v>
      </c>
      <c r="EE1">
        <v>20240513</v>
      </c>
      <c r="EF1">
        <v>20240514</v>
      </c>
      <c r="EG1">
        <v>20240515</v>
      </c>
      <c r="EH1">
        <v>20240516</v>
      </c>
      <c r="EI1">
        <v>20240517</v>
      </c>
      <c r="EJ1">
        <v>20240518</v>
      </c>
      <c r="EK1">
        <v>20240519</v>
      </c>
      <c r="EL1">
        <v>20240520</v>
      </c>
      <c r="EM1">
        <v>20240521</v>
      </c>
      <c r="EN1">
        <v>20240522</v>
      </c>
      <c r="EO1">
        <v>20240523</v>
      </c>
      <c r="EP1">
        <v>20240524</v>
      </c>
      <c r="EQ1">
        <v>20240525</v>
      </c>
      <c r="ER1">
        <v>20240526</v>
      </c>
      <c r="ES1">
        <v>20240527</v>
      </c>
      <c r="ET1">
        <v>20240528</v>
      </c>
      <c r="EU1">
        <v>20240529</v>
      </c>
      <c r="EV1">
        <v>20240530</v>
      </c>
      <c r="EW1">
        <v>20240531</v>
      </c>
      <c r="EX1">
        <v>20240601</v>
      </c>
      <c r="EY1">
        <v>20240602</v>
      </c>
      <c r="EZ1">
        <v>20240603</v>
      </c>
      <c r="FA1">
        <v>20240604</v>
      </c>
      <c r="FB1">
        <v>20240605</v>
      </c>
      <c r="FC1">
        <v>20240606</v>
      </c>
      <c r="FD1">
        <v>20240607</v>
      </c>
      <c r="FE1">
        <v>20240608</v>
      </c>
      <c r="FF1">
        <v>20240609</v>
      </c>
      <c r="FG1">
        <v>20240610</v>
      </c>
      <c r="FH1">
        <v>20240611</v>
      </c>
      <c r="FI1">
        <v>20240612</v>
      </c>
      <c r="FJ1">
        <v>20240613</v>
      </c>
      <c r="FK1">
        <v>20240614</v>
      </c>
      <c r="FL1">
        <v>20240615</v>
      </c>
      <c r="FM1">
        <v>20240616</v>
      </c>
      <c r="FN1">
        <v>20240617</v>
      </c>
      <c r="FO1">
        <v>20240618</v>
      </c>
      <c r="FP1">
        <v>20240619</v>
      </c>
      <c r="FQ1">
        <v>20240620</v>
      </c>
      <c r="FR1">
        <v>20240621</v>
      </c>
      <c r="FS1">
        <v>20240622</v>
      </c>
      <c r="FT1">
        <v>20240623</v>
      </c>
      <c r="FU1">
        <v>20240624</v>
      </c>
      <c r="FV1">
        <v>20240625</v>
      </c>
      <c r="FW1">
        <v>20240626</v>
      </c>
      <c r="FX1">
        <v>20240627</v>
      </c>
      <c r="FY1">
        <v>20240628</v>
      </c>
      <c r="FZ1">
        <v>20240629</v>
      </c>
      <c r="GA1">
        <v>20240630</v>
      </c>
      <c r="GB1">
        <v>20240701</v>
      </c>
      <c r="GC1">
        <v>20240702</v>
      </c>
      <c r="GD1">
        <v>20240703</v>
      </c>
      <c r="GE1">
        <v>20240704</v>
      </c>
      <c r="GF1">
        <v>20240705</v>
      </c>
      <c r="GG1">
        <v>20240706</v>
      </c>
      <c r="GH1">
        <v>20240707</v>
      </c>
      <c r="GI1">
        <v>20240708</v>
      </c>
      <c r="GJ1">
        <v>20240709</v>
      </c>
      <c r="GK1">
        <v>20240710</v>
      </c>
      <c r="GL1">
        <v>20240711</v>
      </c>
      <c r="GM1">
        <v>20240712</v>
      </c>
      <c r="GN1">
        <v>20240713</v>
      </c>
      <c r="GO1">
        <v>20240714</v>
      </c>
      <c r="GP1">
        <v>20240715</v>
      </c>
      <c r="GQ1">
        <v>20240716</v>
      </c>
      <c r="GR1">
        <v>20240717</v>
      </c>
      <c r="GS1">
        <v>20240718</v>
      </c>
      <c r="GT1">
        <v>20240719</v>
      </c>
      <c r="GU1">
        <v>20240720</v>
      </c>
      <c r="GV1">
        <v>20240721</v>
      </c>
      <c r="GW1">
        <v>20240722</v>
      </c>
      <c r="GX1">
        <v>20240723</v>
      </c>
      <c r="GY1">
        <v>20240724</v>
      </c>
      <c r="GZ1">
        <v>20240725</v>
      </c>
      <c r="HA1">
        <v>20240726</v>
      </c>
      <c r="HB1">
        <v>20240727</v>
      </c>
      <c r="HC1">
        <v>20240728</v>
      </c>
      <c r="HD1">
        <v>20240729</v>
      </c>
      <c r="HE1">
        <v>20240730</v>
      </c>
      <c r="HF1">
        <v>20240731</v>
      </c>
      <c r="HG1">
        <v>20240801</v>
      </c>
      <c r="HH1">
        <v>20240802</v>
      </c>
      <c r="HI1">
        <v>20240803</v>
      </c>
      <c r="HJ1">
        <v>20240804</v>
      </c>
      <c r="HK1">
        <v>20240805</v>
      </c>
      <c r="HL1">
        <v>20240806</v>
      </c>
      <c r="HM1">
        <v>20240807</v>
      </c>
      <c r="HN1">
        <v>20240808</v>
      </c>
      <c r="HO1">
        <v>20240809</v>
      </c>
      <c r="HP1">
        <v>20240810</v>
      </c>
      <c r="HQ1">
        <v>20240811</v>
      </c>
      <c r="HR1">
        <v>20240812</v>
      </c>
      <c r="HS1">
        <v>20240813</v>
      </c>
      <c r="HT1">
        <v>20240814</v>
      </c>
      <c r="HU1">
        <v>20240815</v>
      </c>
      <c r="HV1">
        <v>20240816</v>
      </c>
      <c r="HW1">
        <v>20240817</v>
      </c>
      <c r="HX1">
        <v>20240818</v>
      </c>
      <c r="HY1">
        <v>20240819</v>
      </c>
      <c r="HZ1">
        <v>20240820</v>
      </c>
      <c r="IA1">
        <v>20240821</v>
      </c>
      <c r="IB1">
        <v>20240822</v>
      </c>
      <c r="IC1">
        <v>20240823</v>
      </c>
      <c r="ID1">
        <v>20240824</v>
      </c>
      <c r="IE1">
        <v>20240825</v>
      </c>
      <c r="IF1">
        <v>20240826</v>
      </c>
      <c r="IG1">
        <v>20240827</v>
      </c>
      <c r="IH1">
        <v>20240828</v>
      </c>
      <c r="II1">
        <v>20240829</v>
      </c>
      <c r="IJ1">
        <v>20240830</v>
      </c>
      <c r="IK1">
        <v>20240831</v>
      </c>
      <c r="IL1">
        <v>20240901</v>
      </c>
      <c r="IM1">
        <v>20240902</v>
      </c>
      <c r="IN1">
        <v>20240903</v>
      </c>
      <c r="IO1">
        <v>20240904</v>
      </c>
      <c r="IP1">
        <v>20240905</v>
      </c>
      <c r="IQ1">
        <v>20240906</v>
      </c>
      <c r="IR1">
        <v>20240907</v>
      </c>
      <c r="IS1">
        <v>20240908</v>
      </c>
      <c r="IT1">
        <v>20240909</v>
      </c>
      <c r="IU1">
        <v>20240910</v>
      </c>
      <c r="IV1">
        <v>20240911</v>
      </c>
      <c r="IW1">
        <v>20240912</v>
      </c>
      <c r="IX1">
        <v>20240913</v>
      </c>
      <c r="IY1">
        <v>20240914</v>
      </c>
      <c r="IZ1">
        <v>20240915</v>
      </c>
      <c r="JA1">
        <v>20240916</v>
      </c>
      <c r="JB1">
        <v>20240917</v>
      </c>
      <c r="JC1">
        <v>20240918</v>
      </c>
      <c r="JD1">
        <v>20240919</v>
      </c>
      <c r="JE1">
        <v>20240920</v>
      </c>
      <c r="JF1">
        <v>20240921</v>
      </c>
      <c r="JG1">
        <v>20240922</v>
      </c>
      <c r="JH1">
        <v>20240923</v>
      </c>
      <c r="JI1">
        <v>20240924</v>
      </c>
      <c r="JJ1">
        <v>20240925</v>
      </c>
      <c r="JK1">
        <v>20240926</v>
      </c>
      <c r="JL1">
        <v>20240927</v>
      </c>
      <c r="JM1">
        <v>20240928</v>
      </c>
      <c r="JN1">
        <v>20240929</v>
      </c>
      <c r="JO1">
        <v>20240930</v>
      </c>
      <c r="JP1">
        <v>20241001</v>
      </c>
      <c r="JQ1">
        <v>20241002</v>
      </c>
      <c r="JR1">
        <v>20241003</v>
      </c>
      <c r="JS1">
        <v>20241004</v>
      </c>
      <c r="JT1">
        <v>20241005</v>
      </c>
      <c r="JU1">
        <v>20241006</v>
      </c>
      <c r="JV1">
        <v>20241007</v>
      </c>
      <c r="JW1">
        <v>20241008</v>
      </c>
      <c r="JX1">
        <v>20241009</v>
      </c>
      <c r="JY1">
        <v>20241010</v>
      </c>
      <c r="JZ1">
        <v>20241011</v>
      </c>
      <c r="KA1">
        <v>20241012</v>
      </c>
      <c r="KB1">
        <v>20241013</v>
      </c>
      <c r="KC1">
        <v>20241014</v>
      </c>
      <c r="KD1">
        <v>20241015</v>
      </c>
      <c r="KE1">
        <v>20241016</v>
      </c>
      <c r="KF1">
        <v>20241017</v>
      </c>
      <c r="KG1">
        <v>20241018</v>
      </c>
      <c r="KH1">
        <v>20241019</v>
      </c>
      <c r="KI1">
        <v>20241020</v>
      </c>
      <c r="KJ1">
        <v>20241021</v>
      </c>
      <c r="KK1">
        <v>20241022</v>
      </c>
      <c r="KL1">
        <v>20241023</v>
      </c>
      <c r="KM1">
        <v>20241024</v>
      </c>
      <c r="KN1">
        <v>20241025</v>
      </c>
      <c r="KO1">
        <v>20241026</v>
      </c>
      <c r="KP1">
        <v>20241027</v>
      </c>
      <c r="KQ1">
        <v>20241028</v>
      </c>
      <c r="KR1">
        <v>20241029</v>
      </c>
      <c r="KS1">
        <v>20241030</v>
      </c>
      <c r="KT1">
        <v>20241031</v>
      </c>
      <c r="KU1">
        <v>20241101</v>
      </c>
      <c r="KV1">
        <v>20241102</v>
      </c>
      <c r="KW1">
        <v>20241103</v>
      </c>
      <c r="KX1">
        <v>20241104</v>
      </c>
      <c r="KY1">
        <v>20241105</v>
      </c>
      <c r="KZ1">
        <v>20241106</v>
      </c>
      <c r="LA1">
        <v>20241107</v>
      </c>
      <c r="LB1">
        <v>20241108</v>
      </c>
      <c r="LC1">
        <v>20241109</v>
      </c>
      <c r="LD1">
        <v>20241110</v>
      </c>
      <c r="LE1">
        <v>20241111</v>
      </c>
      <c r="LF1">
        <v>20241112</v>
      </c>
      <c r="LG1">
        <v>20241113</v>
      </c>
      <c r="LH1">
        <v>20241114</v>
      </c>
      <c r="LI1">
        <v>20241115</v>
      </c>
      <c r="LJ1">
        <v>20241116</v>
      </c>
      <c r="LK1">
        <v>20241117</v>
      </c>
      <c r="LL1">
        <v>20241118</v>
      </c>
      <c r="LM1">
        <v>20241119</v>
      </c>
      <c r="LN1">
        <v>20241120</v>
      </c>
      <c r="LO1">
        <v>20241121</v>
      </c>
      <c r="LP1">
        <v>20241122</v>
      </c>
      <c r="LQ1">
        <v>20241123</v>
      </c>
      <c r="LR1">
        <v>20241124</v>
      </c>
      <c r="LS1">
        <v>20241125</v>
      </c>
      <c r="LT1">
        <v>20241126</v>
      </c>
      <c r="LU1">
        <v>20241127</v>
      </c>
      <c r="LV1">
        <v>20241128</v>
      </c>
      <c r="LW1">
        <v>20241129</v>
      </c>
      <c r="LX1">
        <v>20241130</v>
      </c>
      <c r="LY1">
        <v>20241201</v>
      </c>
      <c r="LZ1">
        <v>20241202</v>
      </c>
      <c r="MA1">
        <v>20241203</v>
      </c>
      <c r="MB1">
        <v>20241204</v>
      </c>
      <c r="MC1">
        <v>20241205</v>
      </c>
      <c r="MD1">
        <v>20241206</v>
      </c>
      <c r="ME1">
        <v>20241207</v>
      </c>
      <c r="MF1">
        <v>20241208</v>
      </c>
      <c r="MG1">
        <v>20241209</v>
      </c>
      <c r="MH1">
        <v>20241210</v>
      </c>
      <c r="MI1">
        <v>20241211</v>
      </c>
      <c r="MJ1">
        <v>20241212</v>
      </c>
      <c r="MK1">
        <v>20241213</v>
      </c>
      <c r="ML1">
        <v>20241214</v>
      </c>
      <c r="MM1">
        <v>20241215</v>
      </c>
      <c r="MN1">
        <v>20241216</v>
      </c>
      <c r="MO1">
        <v>20241217</v>
      </c>
      <c r="MP1">
        <v>20241218</v>
      </c>
      <c r="MQ1">
        <v>20241219</v>
      </c>
      <c r="MR1">
        <v>20241220</v>
      </c>
      <c r="MS1">
        <v>20241221</v>
      </c>
      <c r="MT1">
        <v>20241222</v>
      </c>
      <c r="MU1">
        <v>20241223</v>
      </c>
      <c r="MV1">
        <v>20241224</v>
      </c>
      <c r="MW1">
        <v>20241225</v>
      </c>
      <c r="MX1">
        <v>20241226</v>
      </c>
      <c r="MY1">
        <v>20241227</v>
      </c>
      <c r="MZ1">
        <v>20241228</v>
      </c>
      <c r="NA1">
        <v>20241229</v>
      </c>
      <c r="NB1">
        <v>20241230</v>
      </c>
      <c r="NC1">
        <v>20241231</v>
      </c>
    </row>
    <row r="2" spans="1:367">
      <c r="A2" t="s">
        <v>155</v>
      </c>
      <c r="B2">
        <v>1019892000</v>
      </c>
      <c r="C2">
        <v>1167182000</v>
      </c>
      <c r="D2">
        <v>831218000</v>
      </c>
      <c r="E2">
        <v>1386335000</v>
      </c>
      <c r="F2">
        <v>1060806000</v>
      </c>
      <c r="G2">
        <v>1224063000</v>
      </c>
      <c r="H2">
        <v>907799000</v>
      </c>
      <c r="I2">
        <v>2872796000</v>
      </c>
      <c r="J2">
        <v>2239379000</v>
      </c>
      <c r="K2">
        <v>1594785000</v>
      </c>
      <c r="L2">
        <v>1326976000</v>
      </c>
      <c r="M2">
        <v>1580057000</v>
      </c>
      <c r="N2">
        <v>1481216000</v>
      </c>
      <c r="O2">
        <v>1117448000</v>
      </c>
      <c r="P2">
        <v>1071383000</v>
      </c>
      <c r="Q2">
        <v>1303039000</v>
      </c>
      <c r="R2">
        <v>1684377000</v>
      </c>
      <c r="S2">
        <v>747647000</v>
      </c>
      <c r="T2">
        <v>710224000</v>
      </c>
      <c r="U2">
        <v>716679000</v>
      </c>
      <c r="V2">
        <v>724479000</v>
      </c>
      <c r="W2">
        <v>913930000</v>
      </c>
      <c r="X2">
        <v>670319000</v>
      </c>
      <c r="Y2">
        <v>1117813000</v>
      </c>
      <c r="Z2">
        <v>1166116000</v>
      </c>
      <c r="AA2">
        <v>947763000</v>
      </c>
      <c r="AB2">
        <v>873835000</v>
      </c>
      <c r="AC2">
        <v>964303000</v>
      </c>
      <c r="AD2">
        <v>953724000</v>
      </c>
      <c r="AE2">
        <v>715822000</v>
      </c>
      <c r="AF2">
        <v>1481372000</v>
      </c>
      <c r="AG2">
        <v>1577326000</v>
      </c>
      <c r="AH2">
        <v>1128685000</v>
      </c>
      <c r="AI2">
        <v>1492146000</v>
      </c>
      <c r="AJ2">
        <v>1298002000</v>
      </c>
      <c r="AK2">
        <v>1188279000</v>
      </c>
      <c r="AL2">
        <v>1041186000</v>
      </c>
      <c r="AM2">
        <v>1138840000</v>
      </c>
      <c r="AN2">
        <v>2694060000</v>
      </c>
      <c r="AO2">
        <v>1419851000</v>
      </c>
      <c r="AP2">
        <v>891107000</v>
      </c>
      <c r="AQ2">
        <v>1125827000</v>
      </c>
      <c r="AR2">
        <v>795752000</v>
      </c>
      <c r="AS2">
        <v>916642000</v>
      </c>
      <c r="AT2">
        <v>1162700000</v>
      </c>
      <c r="AU2">
        <v>1228960000</v>
      </c>
      <c r="AV2">
        <v>1520541000</v>
      </c>
      <c r="AW2">
        <v>1487480000</v>
      </c>
      <c r="AX2">
        <v>716748000</v>
      </c>
      <c r="AY2">
        <v>754877000</v>
      </c>
      <c r="AZ2">
        <v>1121623000</v>
      </c>
      <c r="BA2">
        <v>1006209000</v>
      </c>
      <c r="BB2">
        <v>728066000</v>
      </c>
      <c r="BC2">
        <v>876751000</v>
      </c>
      <c r="BD2">
        <v>798209000</v>
      </c>
      <c r="BE2">
        <v>565237000</v>
      </c>
      <c r="BF2">
        <v>929612000</v>
      </c>
      <c r="BG2">
        <v>716958000</v>
      </c>
      <c r="BH2">
        <v>1167861000</v>
      </c>
      <c r="BI2">
        <v>997076000</v>
      </c>
      <c r="BJ2">
        <v>1081270000</v>
      </c>
      <c r="BK2">
        <v>1082292000</v>
      </c>
      <c r="BL2">
        <v>1006268000</v>
      </c>
      <c r="BM2">
        <v>2791291000</v>
      </c>
      <c r="BN2">
        <v>2301904000</v>
      </c>
      <c r="BO2">
        <v>1492413000</v>
      </c>
      <c r="BP2">
        <v>1448627000</v>
      </c>
      <c r="BQ2">
        <v>1856517000</v>
      </c>
      <c r="BR2">
        <v>1594621000</v>
      </c>
      <c r="BS2">
        <v>1390905000</v>
      </c>
      <c r="BT2">
        <v>1300350000</v>
      </c>
      <c r="BU2">
        <v>1354250000</v>
      </c>
      <c r="BV2">
        <v>1621504000</v>
      </c>
      <c r="BW2">
        <v>848895000</v>
      </c>
      <c r="BX2">
        <v>624759000</v>
      </c>
      <c r="BY2">
        <v>858406000</v>
      </c>
      <c r="BZ2">
        <v>642878000</v>
      </c>
      <c r="CA2">
        <v>1372289000</v>
      </c>
      <c r="CB2">
        <v>1198997000</v>
      </c>
      <c r="CC2">
        <v>1191799000</v>
      </c>
      <c r="CD2">
        <v>1728113000</v>
      </c>
      <c r="CE2">
        <v>1377837000</v>
      </c>
      <c r="CF2">
        <v>1355088000</v>
      </c>
      <c r="CG2">
        <v>1043123000</v>
      </c>
      <c r="CH2">
        <v>1264796000</v>
      </c>
      <c r="CI2">
        <v>1057446000</v>
      </c>
      <c r="CJ2">
        <v>1193636000</v>
      </c>
      <c r="CK2">
        <v>1431481000</v>
      </c>
      <c r="CL2">
        <v>1348088000</v>
      </c>
      <c r="CM2">
        <v>1671868000</v>
      </c>
      <c r="CN2">
        <v>1370114000</v>
      </c>
      <c r="CO2">
        <v>3120077000</v>
      </c>
      <c r="CP2">
        <v>2065801000</v>
      </c>
      <c r="CQ2">
        <v>1584682000</v>
      </c>
      <c r="CR2">
        <v>2343249000</v>
      </c>
      <c r="CS2">
        <v>1566451000</v>
      </c>
      <c r="CT2">
        <v>1435840000</v>
      </c>
      <c r="CU2">
        <v>1081180000</v>
      </c>
      <c r="CV2">
        <v>1283932000</v>
      </c>
      <c r="CW2">
        <v>806257000</v>
      </c>
      <c r="CX2">
        <v>518106000</v>
      </c>
      <c r="CY2">
        <v>1877795000</v>
      </c>
      <c r="CZ2">
        <v>1606487000</v>
      </c>
      <c r="DA2">
        <v>1548477000</v>
      </c>
      <c r="DB2">
        <v>913707000</v>
      </c>
      <c r="DC2">
        <v>796568000</v>
      </c>
      <c r="DD2">
        <v>826439000</v>
      </c>
      <c r="DE2">
        <v>758658000</v>
      </c>
      <c r="DF2">
        <v>1020400000</v>
      </c>
      <c r="DG2">
        <v>834496000</v>
      </c>
      <c r="DH2">
        <v>907142000</v>
      </c>
      <c r="DI2">
        <v>852212000</v>
      </c>
      <c r="DJ2">
        <v>841335000</v>
      </c>
      <c r="DK2">
        <v>649671000</v>
      </c>
      <c r="DL2">
        <v>783828000</v>
      </c>
      <c r="DM2">
        <v>891852000</v>
      </c>
      <c r="DN2">
        <v>851710000</v>
      </c>
      <c r="DO2">
        <v>1039233000</v>
      </c>
      <c r="DP2">
        <v>791115000</v>
      </c>
      <c r="DQ2">
        <v>750355000</v>
      </c>
      <c r="DR2">
        <v>626977000</v>
      </c>
      <c r="DS2">
        <v>1631055000</v>
      </c>
      <c r="DT2">
        <v>2289793000</v>
      </c>
      <c r="DU2">
        <v>1491781000</v>
      </c>
      <c r="DV2">
        <v>1325017000</v>
      </c>
      <c r="DW2">
        <v>1538406000</v>
      </c>
      <c r="DX2">
        <v>1377313000</v>
      </c>
      <c r="DY2">
        <v>1160511000</v>
      </c>
      <c r="DZ2">
        <v>1337157000</v>
      </c>
      <c r="EA2">
        <v>1232064000</v>
      </c>
      <c r="EB2">
        <v>1169763000</v>
      </c>
      <c r="EC2">
        <v>1118501000</v>
      </c>
      <c r="ED2">
        <v>1099229000</v>
      </c>
      <c r="EE2">
        <v>932842000</v>
      </c>
      <c r="EF2">
        <v>753975000</v>
      </c>
      <c r="EG2">
        <v>652734000</v>
      </c>
      <c r="EH2">
        <v>675654000</v>
      </c>
      <c r="EI2">
        <v>1078446000</v>
      </c>
      <c r="EJ2">
        <v>922054000</v>
      </c>
      <c r="EK2">
        <v>770682000</v>
      </c>
      <c r="EL2">
        <v>903593000</v>
      </c>
      <c r="EM2">
        <v>716899000</v>
      </c>
      <c r="EN2">
        <v>773299000</v>
      </c>
      <c r="EO2">
        <v>961682000</v>
      </c>
      <c r="EP2">
        <v>950960000</v>
      </c>
      <c r="EQ2">
        <v>768236000</v>
      </c>
      <c r="ER2">
        <v>806609000</v>
      </c>
      <c r="ES2">
        <v>820212000</v>
      </c>
      <c r="ET2">
        <v>654346000</v>
      </c>
      <c r="EU2">
        <v>1032117000</v>
      </c>
      <c r="EV2">
        <v>717802000</v>
      </c>
      <c r="EW2">
        <v>778927000</v>
      </c>
      <c r="EX2">
        <v>951061000</v>
      </c>
      <c r="EY2">
        <v>572994000</v>
      </c>
      <c r="EZ2">
        <v>2784797000</v>
      </c>
      <c r="FA2">
        <v>1628856000</v>
      </c>
      <c r="FB2">
        <v>1492178000</v>
      </c>
      <c r="FC2">
        <v>1238311000</v>
      </c>
      <c r="FD2">
        <v>997743000</v>
      </c>
      <c r="FE2">
        <v>1032164000</v>
      </c>
      <c r="FF2">
        <v>795584000</v>
      </c>
      <c r="FG2">
        <v>1402812000</v>
      </c>
      <c r="FH2">
        <v>1189539000</v>
      </c>
      <c r="FI2">
        <v>877725000</v>
      </c>
      <c r="FJ2">
        <v>769502000</v>
      </c>
      <c r="FK2">
        <v>1076442000</v>
      </c>
      <c r="FL2">
        <v>560814000</v>
      </c>
      <c r="FM2">
        <v>796999000</v>
      </c>
      <c r="FN2">
        <v>792824000</v>
      </c>
      <c r="FO2">
        <v>556733000</v>
      </c>
      <c r="FP2">
        <v>640604000</v>
      </c>
      <c r="FQ2">
        <v>723630000</v>
      </c>
      <c r="FR2">
        <v>492224000</v>
      </c>
      <c r="FS2">
        <v>787247000</v>
      </c>
      <c r="FT2">
        <v>744026000</v>
      </c>
      <c r="FU2">
        <v>622831000</v>
      </c>
      <c r="FV2">
        <v>612259000</v>
      </c>
      <c r="FW2">
        <v>855405000</v>
      </c>
      <c r="FX2">
        <v>651686000</v>
      </c>
      <c r="FY2">
        <v>803785000</v>
      </c>
      <c r="FZ2">
        <v>737119000</v>
      </c>
      <c r="GA2">
        <v>597163000</v>
      </c>
      <c r="GB2">
        <v>589062000</v>
      </c>
      <c r="GC2">
        <v>654190000</v>
      </c>
      <c r="GD2">
        <v>4047719000</v>
      </c>
      <c r="GE2">
        <v>1555600000</v>
      </c>
      <c r="GF2" s="67">
        <v>922252000</v>
      </c>
      <c r="GG2" s="67">
        <v>889846000</v>
      </c>
      <c r="GH2" s="67">
        <v>695101000</v>
      </c>
      <c r="GI2" s="67">
        <v>1365615000</v>
      </c>
      <c r="GJ2" s="67">
        <v>1127909000</v>
      </c>
      <c r="GK2" s="67">
        <v>996836000</v>
      </c>
      <c r="GL2" s="67">
        <v>648450000</v>
      </c>
      <c r="GM2" s="67">
        <v>669431000</v>
      </c>
      <c r="GN2" s="67">
        <v>801044000</v>
      </c>
      <c r="GO2" s="67">
        <v>747967000</v>
      </c>
      <c r="GP2" s="67">
        <v>520595000</v>
      </c>
      <c r="GQ2" s="67">
        <v>502208000</v>
      </c>
      <c r="GR2" s="67">
        <v>525540000</v>
      </c>
      <c r="GS2" s="67">
        <v>637757000</v>
      </c>
      <c r="GT2" s="67">
        <v>1012855000</v>
      </c>
      <c r="GU2" s="67">
        <v>809577000</v>
      </c>
      <c r="GV2" s="67">
        <v>721659000</v>
      </c>
      <c r="GW2" s="67">
        <v>761803000</v>
      </c>
      <c r="GX2" s="67">
        <v>614254000</v>
      </c>
      <c r="GY2" s="67">
        <v>664499000</v>
      </c>
      <c r="GZ2" s="67">
        <v>861456000</v>
      </c>
      <c r="HA2" s="67">
        <v>881671000</v>
      </c>
      <c r="HB2" s="67">
        <v>993076000</v>
      </c>
      <c r="HC2" s="67">
        <v>756748000</v>
      </c>
      <c r="HD2" s="67">
        <v>680359000</v>
      </c>
      <c r="HE2" s="67">
        <v>670806000</v>
      </c>
      <c r="HF2" s="67">
        <v>776123000</v>
      </c>
      <c r="HG2" s="67">
        <v>2597885000</v>
      </c>
      <c r="HH2" s="67">
        <v>1467317000</v>
      </c>
      <c r="HI2" s="67">
        <v>877390000</v>
      </c>
      <c r="HJ2" s="67">
        <v>1530378000</v>
      </c>
      <c r="HK2" s="67">
        <v>1231251000</v>
      </c>
      <c r="HL2" s="67">
        <v>1132576000</v>
      </c>
      <c r="HM2" s="67">
        <v>911792000</v>
      </c>
      <c r="HN2" s="67">
        <v>1215181000</v>
      </c>
      <c r="HO2" s="67">
        <v>1071571000</v>
      </c>
      <c r="HP2" s="67">
        <v>1096222000</v>
      </c>
      <c r="HQ2" s="67">
        <v>1040650000</v>
      </c>
      <c r="HR2" s="67">
        <v>1083954000</v>
      </c>
      <c r="HS2" s="67">
        <v>735204000</v>
      </c>
      <c r="HT2" s="67">
        <v>726012000</v>
      </c>
      <c r="HU2" s="67">
        <v>545273000</v>
      </c>
      <c r="HV2" s="67">
        <v>542546000</v>
      </c>
      <c r="HW2" s="67">
        <v>711926000</v>
      </c>
      <c r="HX2" s="67">
        <v>1067929000</v>
      </c>
      <c r="HY2" s="67">
        <v>915680000</v>
      </c>
      <c r="HZ2" s="67">
        <v>937978000</v>
      </c>
      <c r="IA2" s="67">
        <v>740268000</v>
      </c>
      <c r="IB2" s="67">
        <v>663887000</v>
      </c>
      <c r="IC2" s="67">
        <v>1030406000</v>
      </c>
      <c r="ID2" s="67">
        <v>717024000</v>
      </c>
      <c r="IE2" s="67">
        <v>764206000</v>
      </c>
      <c r="IF2" s="67">
        <v>816885000</v>
      </c>
      <c r="IG2" s="67">
        <v>839777000</v>
      </c>
      <c r="IH2" s="67">
        <v>647389000</v>
      </c>
      <c r="II2" s="67">
        <v>1952493000</v>
      </c>
      <c r="IJ2" s="67">
        <v>723646000</v>
      </c>
      <c r="IK2" s="67">
        <v>841310000</v>
      </c>
      <c r="IL2" s="67">
        <v>744622000</v>
      </c>
      <c r="IM2" s="67">
        <v>689674000</v>
      </c>
      <c r="IN2" s="67">
        <v>2321651000</v>
      </c>
      <c r="IO2" s="67">
        <v>1440877000</v>
      </c>
      <c r="IP2" s="67">
        <v>1012881000</v>
      </c>
      <c r="IQ2" s="67">
        <v>1502641000</v>
      </c>
      <c r="IR2" s="67">
        <v>867462000</v>
      </c>
      <c r="IS2" s="67">
        <v>692545000</v>
      </c>
      <c r="IT2">
        <v>612569000</v>
      </c>
      <c r="IU2">
        <v>690738000</v>
      </c>
      <c r="IV2">
        <v>1108834000</v>
      </c>
      <c r="IW2" s="67">
        <v>1114578000</v>
      </c>
      <c r="IX2" s="67">
        <v>1118149000</v>
      </c>
      <c r="IY2" s="67">
        <v>1095924000</v>
      </c>
      <c r="IZ2" s="67">
        <v>628604000</v>
      </c>
      <c r="JA2" s="67">
        <v>1056709000</v>
      </c>
      <c r="JB2" s="67">
        <v>703919000</v>
      </c>
      <c r="JC2" s="67">
        <v>632348000</v>
      </c>
      <c r="JD2" s="67">
        <v>501631000</v>
      </c>
      <c r="JE2" s="67">
        <v>986411000</v>
      </c>
      <c r="JF2" s="67">
        <v>901928000</v>
      </c>
      <c r="JG2" s="67">
        <v>693207000</v>
      </c>
      <c r="JH2" s="67">
        <v>774851000</v>
      </c>
      <c r="JI2" s="67">
        <v>709771000</v>
      </c>
      <c r="JJ2" s="67">
        <v>883487000</v>
      </c>
      <c r="JK2">
        <v>1139021000</v>
      </c>
      <c r="JL2" s="67">
        <v>754794000</v>
      </c>
      <c r="JM2" s="67">
        <v>598316000</v>
      </c>
      <c r="JN2" s="67">
        <v>572475000</v>
      </c>
      <c r="JO2" s="67">
        <v>564111000</v>
      </c>
      <c r="JP2" s="67">
        <v>626772000</v>
      </c>
      <c r="JQ2" s="67">
        <v>2106299000</v>
      </c>
      <c r="JR2">
        <v>1857676000</v>
      </c>
      <c r="JS2" s="67">
        <v>989360000</v>
      </c>
      <c r="JT2" s="67">
        <v>768146000</v>
      </c>
      <c r="JU2" s="67">
        <v>963121000</v>
      </c>
      <c r="JV2" s="67">
        <v>961392000</v>
      </c>
      <c r="JW2" s="67">
        <v>1098567000</v>
      </c>
      <c r="JX2" s="67">
        <v>865721000</v>
      </c>
      <c r="JY2">
        <v>815257000</v>
      </c>
      <c r="JZ2" s="67">
        <v>1224152000</v>
      </c>
      <c r="KA2" s="67">
        <v>650713000</v>
      </c>
      <c r="KB2" s="67">
        <v>679873000</v>
      </c>
      <c r="KC2">
        <v>678913000</v>
      </c>
      <c r="KD2">
        <v>1041106000</v>
      </c>
      <c r="KE2">
        <v>1148686000</v>
      </c>
      <c r="KF2">
        <v>1239964000</v>
      </c>
      <c r="KG2">
        <v>1077938000</v>
      </c>
      <c r="KH2">
        <v>751418000</v>
      </c>
      <c r="KI2">
        <v>636123000</v>
      </c>
      <c r="KJ2">
        <v>754131000</v>
      </c>
      <c r="KK2">
        <v>787208000</v>
      </c>
      <c r="KL2">
        <v>780621000</v>
      </c>
      <c r="KM2">
        <v>623145000</v>
      </c>
      <c r="KN2">
        <v>1053326000</v>
      </c>
      <c r="KO2">
        <v>1229471000</v>
      </c>
      <c r="KP2">
        <v>761371000</v>
      </c>
      <c r="KQ2">
        <v>724915000</v>
      </c>
      <c r="KR2">
        <v>1156675000</v>
      </c>
      <c r="KS2">
        <v>956396000</v>
      </c>
      <c r="KT2">
        <v>816174000</v>
      </c>
      <c r="KU2">
        <v>2238589000</v>
      </c>
      <c r="KV2">
        <v>1361435000</v>
      </c>
      <c r="KW2">
        <v>1285393000</v>
      </c>
      <c r="KX2">
        <v>1349278000</v>
      </c>
      <c r="KY2">
        <v>991473000</v>
      </c>
      <c r="KZ2">
        <v>885103000</v>
      </c>
      <c r="LA2">
        <v>921561000</v>
      </c>
      <c r="LB2">
        <v>1255374000</v>
      </c>
      <c r="LC2" s="67">
        <v>1011733000</v>
      </c>
      <c r="LD2" s="67">
        <v>908050000</v>
      </c>
      <c r="LE2">
        <v>1054444000</v>
      </c>
      <c r="LF2">
        <v>922802000</v>
      </c>
      <c r="LG2">
        <v>655788000</v>
      </c>
      <c r="LH2">
        <v>479856000</v>
      </c>
      <c r="LI2" s="67">
        <v>517969000</v>
      </c>
      <c r="LJ2" s="67">
        <v>845675000</v>
      </c>
      <c r="LK2" s="67">
        <v>490277000</v>
      </c>
      <c r="LL2" s="67">
        <v>511447000</v>
      </c>
      <c r="LM2" s="67">
        <v>849556000</v>
      </c>
      <c r="LN2" s="67">
        <v>1014873000</v>
      </c>
      <c r="LO2" s="67">
        <v>702562000</v>
      </c>
      <c r="LP2" s="67">
        <v>650093000</v>
      </c>
      <c r="LQ2" s="67">
        <v>710830000</v>
      </c>
      <c r="LR2" s="67">
        <v>754534000</v>
      </c>
      <c r="LS2" s="67">
        <v>846374000</v>
      </c>
      <c r="LT2" s="67">
        <v>836258000</v>
      </c>
      <c r="LU2">
        <v>605271000</v>
      </c>
      <c r="LV2">
        <v>676444000</v>
      </c>
      <c r="LW2">
        <v>922447000</v>
      </c>
      <c r="LX2">
        <v>823436000</v>
      </c>
      <c r="LY2">
        <v>876114000</v>
      </c>
      <c r="LZ2">
        <v>2470261000</v>
      </c>
      <c r="MA2">
        <v>1336125000</v>
      </c>
      <c r="MB2" s="67">
        <v>1175323000</v>
      </c>
      <c r="MC2" s="67">
        <v>1466745000</v>
      </c>
      <c r="MD2">
        <v>1096469000</v>
      </c>
      <c r="ME2">
        <v>834711000</v>
      </c>
      <c r="MF2">
        <v>775817000</v>
      </c>
      <c r="MG2">
        <v>1213395000</v>
      </c>
      <c r="MH2">
        <v>1135325000</v>
      </c>
      <c r="MI2">
        <v>1059579000</v>
      </c>
      <c r="MJ2">
        <v>784514000</v>
      </c>
      <c r="MK2" s="67">
        <v>637740000</v>
      </c>
      <c r="ML2" s="67">
        <v>622434000</v>
      </c>
      <c r="MM2" s="67">
        <v>541324000</v>
      </c>
      <c r="MN2">
        <v>651546000</v>
      </c>
      <c r="MO2">
        <v>505388000</v>
      </c>
      <c r="MP2">
        <v>919441000</v>
      </c>
      <c r="MQ2">
        <v>641231000</v>
      </c>
      <c r="MR2" s="67">
        <v>623166000</v>
      </c>
      <c r="MS2">
        <v>599305000</v>
      </c>
      <c r="MT2">
        <v>628406000</v>
      </c>
      <c r="MU2">
        <v>1227154000</v>
      </c>
      <c r="MV2">
        <v>1006626000</v>
      </c>
      <c r="MW2" s="67">
        <v>634829000</v>
      </c>
      <c r="MX2" s="67">
        <v>766581000</v>
      </c>
      <c r="MY2" s="67">
        <v>924428000</v>
      </c>
      <c r="MZ2" s="67">
        <v>789041000</v>
      </c>
      <c r="NA2" s="67">
        <v>693416000</v>
      </c>
      <c r="NB2" s="67">
        <v>701098000</v>
      </c>
      <c r="NC2">
        <v>764904000</v>
      </c>
    </row>
    <row r="3" spans="1:367">
      <c r="A3" t="s">
        <v>563</v>
      </c>
      <c r="B3" t="str">
        <f>"2025"&amp;RIGHT(B1,4)</f>
        <v>20250101</v>
      </c>
      <c r="C3" t="str">
        <f t="shared" ref="C3:BH5" si="0">"2025"&amp;RIGHT(C1,4)</f>
        <v>20250102</v>
      </c>
      <c r="D3" t="str">
        <f t="shared" si="0"/>
        <v>20250103</v>
      </c>
      <c r="E3" t="str">
        <f t="shared" si="0"/>
        <v>20250104</v>
      </c>
      <c r="F3" t="str">
        <f t="shared" si="0"/>
        <v>20250105</v>
      </c>
      <c r="G3" t="str">
        <f t="shared" si="0"/>
        <v>20250106</v>
      </c>
      <c r="H3" t="str">
        <f t="shared" si="0"/>
        <v>20250107</v>
      </c>
      <c r="I3" t="str">
        <f t="shared" si="0"/>
        <v>20250108</v>
      </c>
      <c r="J3" t="str">
        <f t="shared" si="0"/>
        <v>20250109</v>
      </c>
      <c r="K3" t="str">
        <f t="shared" si="0"/>
        <v>20250110</v>
      </c>
      <c r="L3" t="str">
        <f t="shared" si="0"/>
        <v>20250111</v>
      </c>
      <c r="M3" t="str">
        <f t="shared" si="0"/>
        <v>20250112</v>
      </c>
      <c r="N3" t="str">
        <f t="shared" si="0"/>
        <v>20250113</v>
      </c>
      <c r="O3" t="str">
        <f t="shared" si="0"/>
        <v>20250114</v>
      </c>
      <c r="P3" t="str">
        <f t="shared" si="0"/>
        <v>20250115</v>
      </c>
      <c r="Q3" t="str">
        <f t="shared" si="0"/>
        <v>20250116</v>
      </c>
      <c r="R3" t="str">
        <f t="shared" si="0"/>
        <v>20250117</v>
      </c>
      <c r="S3" t="str">
        <f t="shared" si="0"/>
        <v>20250118</v>
      </c>
      <c r="T3" t="str">
        <f t="shared" si="0"/>
        <v>20250119</v>
      </c>
      <c r="U3" t="str">
        <f t="shared" si="0"/>
        <v>20250120</v>
      </c>
      <c r="V3" t="str">
        <f t="shared" si="0"/>
        <v>20250121</v>
      </c>
      <c r="W3" t="str">
        <f t="shared" si="0"/>
        <v>20250122</v>
      </c>
      <c r="X3" t="str">
        <f t="shared" si="0"/>
        <v>20250123</v>
      </c>
      <c r="Y3" t="str">
        <f t="shared" si="0"/>
        <v>20250124</v>
      </c>
      <c r="Z3" t="str">
        <f t="shared" si="0"/>
        <v>20250125</v>
      </c>
      <c r="AA3" t="str">
        <f t="shared" si="0"/>
        <v>20250126</v>
      </c>
      <c r="AB3" t="str">
        <f t="shared" si="0"/>
        <v>20250127</v>
      </c>
      <c r="AC3" t="str">
        <f t="shared" si="0"/>
        <v>20250128</v>
      </c>
      <c r="AD3" t="str">
        <f t="shared" si="0"/>
        <v>20250129</v>
      </c>
      <c r="AE3" t="str">
        <f t="shared" si="0"/>
        <v>20250130</v>
      </c>
      <c r="AF3" t="str">
        <f t="shared" si="0"/>
        <v>20250131</v>
      </c>
      <c r="AG3" t="str">
        <f t="shared" si="0"/>
        <v>20250201</v>
      </c>
      <c r="AH3" t="str">
        <f t="shared" si="0"/>
        <v>20250202</v>
      </c>
      <c r="AI3" t="str">
        <f t="shared" si="0"/>
        <v>20250203</v>
      </c>
      <c r="AJ3" t="str">
        <f t="shared" si="0"/>
        <v>20250204</v>
      </c>
      <c r="AK3" t="str">
        <f t="shared" si="0"/>
        <v>20250205</v>
      </c>
      <c r="AL3" t="str">
        <f t="shared" si="0"/>
        <v>20250206</v>
      </c>
      <c r="AM3" t="str">
        <f t="shared" si="0"/>
        <v>20250207</v>
      </c>
      <c r="AN3" t="str">
        <f t="shared" si="0"/>
        <v>20250208</v>
      </c>
      <c r="AO3" t="str">
        <f t="shared" si="0"/>
        <v>20250209</v>
      </c>
      <c r="AP3" t="str">
        <f t="shared" si="0"/>
        <v>20250210</v>
      </c>
      <c r="AQ3" t="str">
        <f t="shared" si="0"/>
        <v>20250211</v>
      </c>
      <c r="AR3" t="str">
        <f t="shared" si="0"/>
        <v>20250212</v>
      </c>
      <c r="AS3" t="str">
        <f t="shared" si="0"/>
        <v>20250213</v>
      </c>
      <c r="AT3" t="str">
        <f t="shared" si="0"/>
        <v>20250214</v>
      </c>
      <c r="AU3" t="str">
        <f t="shared" si="0"/>
        <v>20250215</v>
      </c>
      <c r="AV3" t="str">
        <f t="shared" si="0"/>
        <v>20250216</v>
      </c>
      <c r="AW3" t="str">
        <f t="shared" si="0"/>
        <v>20250217</v>
      </c>
      <c r="AX3" t="str">
        <f t="shared" si="0"/>
        <v>20250218</v>
      </c>
      <c r="AY3" t="str">
        <f t="shared" si="0"/>
        <v>20250219</v>
      </c>
      <c r="AZ3" t="str">
        <f t="shared" si="0"/>
        <v>20250220</v>
      </c>
      <c r="BA3" t="str">
        <f t="shared" si="0"/>
        <v>20250221</v>
      </c>
      <c r="BB3" t="str">
        <f t="shared" si="0"/>
        <v>20250222</v>
      </c>
      <c r="BC3" t="str">
        <f t="shared" si="0"/>
        <v>20250223</v>
      </c>
      <c r="BD3" t="str">
        <f t="shared" si="0"/>
        <v>20250224</v>
      </c>
      <c r="BE3" t="str">
        <f t="shared" si="0"/>
        <v>20250225</v>
      </c>
      <c r="BF3" t="str">
        <f t="shared" si="0"/>
        <v>20250226</v>
      </c>
      <c r="BG3" t="str">
        <f t="shared" si="0"/>
        <v>20250227</v>
      </c>
      <c r="BH3" t="str">
        <f t="shared" si="0"/>
        <v>20250228</v>
      </c>
      <c r="BI3" t="str">
        <f>"2025"&amp;RIGHT(BJ1,4)</f>
        <v>20250301</v>
      </c>
      <c r="BJ3" t="str">
        <f>"2025"&amp;RIGHT(BK1,4)</f>
        <v>20250302</v>
      </c>
      <c r="BK3" t="str">
        <f>"2025"&amp;RIGHT(BL1,4)</f>
        <v>20250303</v>
      </c>
      <c r="BL3" t="str">
        <f>"2025"&amp;RIGHT(BM1,4)</f>
        <v>20250304</v>
      </c>
      <c r="BM3" t="str">
        <f>"2025"&amp;RIGHT(BN1,4)</f>
        <v>20250305</v>
      </c>
      <c r="BN3" t="str">
        <f t="shared" ref="BN3:DY3" si="1">"2025"&amp;RIGHT(BO1,4)</f>
        <v>20250306</v>
      </c>
      <c r="BO3" t="str">
        <f t="shared" si="1"/>
        <v>20250307</v>
      </c>
      <c r="BP3" t="str">
        <f t="shared" si="1"/>
        <v>20250308</v>
      </c>
      <c r="BQ3" t="str">
        <f t="shared" si="1"/>
        <v>20250309</v>
      </c>
      <c r="BR3" t="str">
        <f t="shared" si="1"/>
        <v>20250310</v>
      </c>
      <c r="BS3" t="str">
        <f t="shared" si="1"/>
        <v>20250311</v>
      </c>
      <c r="BT3" t="str">
        <f t="shared" si="1"/>
        <v>20250312</v>
      </c>
      <c r="BU3" t="str">
        <f t="shared" si="1"/>
        <v>20250313</v>
      </c>
      <c r="BV3" t="str">
        <f t="shared" si="1"/>
        <v>20250314</v>
      </c>
      <c r="BW3" t="str">
        <f t="shared" si="1"/>
        <v>20250315</v>
      </c>
      <c r="BX3" t="str">
        <f t="shared" si="1"/>
        <v>20250316</v>
      </c>
      <c r="BY3" t="str">
        <f t="shared" si="1"/>
        <v>20250317</v>
      </c>
      <c r="BZ3" t="str">
        <f t="shared" si="1"/>
        <v>20250318</v>
      </c>
      <c r="CA3" t="str">
        <f t="shared" si="1"/>
        <v>20250319</v>
      </c>
      <c r="CB3" t="str">
        <f t="shared" si="1"/>
        <v>20250320</v>
      </c>
      <c r="CC3" t="str">
        <f t="shared" si="1"/>
        <v>20250321</v>
      </c>
      <c r="CD3" t="str">
        <f t="shared" si="1"/>
        <v>20250322</v>
      </c>
      <c r="CE3" t="str">
        <f t="shared" si="1"/>
        <v>20250323</v>
      </c>
      <c r="CF3" t="str">
        <f t="shared" si="1"/>
        <v>20250324</v>
      </c>
      <c r="CG3" t="str">
        <f t="shared" si="1"/>
        <v>20250325</v>
      </c>
      <c r="CH3" t="str">
        <f t="shared" si="1"/>
        <v>20250326</v>
      </c>
      <c r="CI3" t="str">
        <f t="shared" si="1"/>
        <v>20250327</v>
      </c>
      <c r="CJ3" t="str">
        <f t="shared" si="1"/>
        <v>20250328</v>
      </c>
      <c r="CK3" t="str">
        <f t="shared" si="1"/>
        <v>20250329</v>
      </c>
      <c r="CL3" t="str">
        <f t="shared" si="1"/>
        <v>20250330</v>
      </c>
      <c r="CM3" t="str">
        <f t="shared" si="1"/>
        <v>20250331</v>
      </c>
      <c r="CN3" t="str">
        <f t="shared" si="1"/>
        <v>20250401</v>
      </c>
      <c r="CO3" t="str">
        <f t="shared" si="1"/>
        <v>20250402</v>
      </c>
      <c r="CP3" t="str">
        <f t="shared" si="1"/>
        <v>20250403</v>
      </c>
      <c r="CQ3" t="str">
        <f t="shared" si="1"/>
        <v>20250404</v>
      </c>
      <c r="CR3" t="str">
        <f t="shared" si="1"/>
        <v>20250405</v>
      </c>
      <c r="CS3" t="str">
        <f t="shared" si="1"/>
        <v>20250406</v>
      </c>
      <c r="CT3" t="str">
        <f t="shared" si="1"/>
        <v>20250407</v>
      </c>
      <c r="CU3" t="str">
        <f t="shared" si="1"/>
        <v>20250408</v>
      </c>
      <c r="CV3" t="str">
        <f t="shared" si="1"/>
        <v>20250409</v>
      </c>
      <c r="CW3" t="str">
        <f t="shared" si="1"/>
        <v>20250410</v>
      </c>
      <c r="CX3" t="str">
        <f t="shared" si="1"/>
        <v>20250411</v>
      </c>
      <c r="CY3" t="str">
        <f t="shared" si="1"/>
        <v>20250412</v>
      </c>
      <c r="CZ3" t="str">
        <f t="shared" si="1"/>
        <v>20250413</v>
      </c>
      <c r="DA3" t="str">
        <f t="shared" si="1"/>
        <v>20250414</v>
      </c>
      <c r="DB3" t="str">
        <f t="shared" si="1"/>
        <v>20250415</v>
      </c>
      <c r="DC3" t="str">
        <f t="shared" si="1"/>
        <v>20250416</v>
      </c>
      <c r="DD3" t="str">
        <f t="shared" si="1"/>
        <v>20250417</v>
      </c>
      <c r="DE3" t="str">
        <f t="shared" si="1"/>
        <v>20250418</v>
      </c>
      <c r="DF3" t="str">
        <f t="shared" si="1"/>
        <v>20250419</v>
      </c>
      <c r="DG3" t="str">
        <f t="shared" si="1"/>
        <v>20250420</v>
      </c>
      <c r="DH3" t="str">
        <f t="shared" si="1"/>
        <v>20250421</v>
      </c>
      <c r="DI3" t="str">
        <f t="shared" si="1"/>
        <v>20250422</v>
      </c>
      <c r="DJ3" t="str">
        <f t="shared" si="1"/>
        <v>20250423</v>
      </c>
      <c r="DK3" t="str">
        <f t="shared" si="1"/>
        <v>20250424</v>
      </c>
      <c r="DL3" t="str">
        <f t="shared" si="1"/>
        <v>20250425</v>
      </c>
      <c r="DM3" t="str">
        <f t="shared" si="1"/>
        <v>20250426</v>
      </c>
      <c r="DN3" t="str">
        <f t="shared" si="1"/>
        <v>20250427</v>
      </c>
      <c r="DO3" t="str">
        <f t="shared" si="1"/>
        <v>20250428</v>
      </c>
      <c r="DP3" t="str">
        <f t="shared" si="1"/>
        <v>20250429</v>
      </c>
      <c r="DQ3" t="str">
        <f t="shared" si="1"/>
        <v>20250430</v>
      </c>
      <c r="DR3" t="str">
        <f t="shared" si="1"/>
        <v>20250501</v>
      </c>
      <c r="DS3" t="str">
        <f t="shared" si="1"/>
        <v>20250502</v>
      </c>
      <c r="DT3" t="str">
        <f t="shared" si="1"/>
        <v>20250503</v>
      </c>
      <c r="DU3" t="str">
        <f t="shared" si="1"/>
        <v>20250504</v>
      </c>
      <c r="DV3" t="str">
        <f t="shared" si="1"/>
        <v>20250505</v>
      </c>
      <c r="DW3" t="str">
        <f t="shared" si="1"/>
        <v>20250506</v>
      </c>
      <c r="DX3" t="str">
        <f t="shared" si="1"/>
        <v>20250507</v>
      </c>
      <c r="DY3" t="str">
        <f t="shared" si="1"/>
        <v>20250508</v>
      </c>
      <c r="DZ3" t="str">
        <f t="shared" ref="DZ3:GK3" si="2">"2025"&amp;RIGHT(EA1,4)</f>
        <v>20250509</v>
      </c>
      <c r="EA3" t="str">
        <f t="shared" si="2"/>
        <v>20250510</v>
      </c>
      <c r="EB3" t="str">
        <f t="shared" si="2"/>
        <v>20250511</v>
      </c>
      <c r="EC3" t="str">
        <f t="shared" si="2"/>
        <v>20250512</v>
      </c>
      <c r="ED3" t="str">
        <f t="shared" si="2"/>
        <v>20250513</v>
      </c>
      <c r="EE3" t="str">
        <f t="shared" si="2"/>
        <v>20250514</v>
      </c>
      <c r="EF3" t="str">
        <f t="shared" si="2"/>
        <v>20250515</v>
      </c>
      <c r="EG3" t="str">
        <f t="shared" si="2"/>
        <v>20250516</v>
      </c>
      <c r="EH3" t="str">
        <f t="shared" si="2"/>
        <v>20250517</v>
      </c>
      <c r="EI3" t="str">
        <f t="shared" si="2"/>
        <v>20250518</v>
      </c>
      <c r="EJ3" t="str">
        <f t="shared" si="2"/>
        <v>20250519</v>
      </c>
      <c r="EK3" t="str">
        <f t="shared" si="2"/>
        <v>20250520</v>
      </c>
      <c r="EL3" t="str">
        <f t="shared" si="2"/>
        <v>20250521</v>
      </c>
      <c r="EM3" t="str">
        <f t="shared" si="2"/>
        <v>20250522</v>
      </c>
      <c r="EN3" t="str">
        <f t="shared" si="2"/>
        <v>20250523</v>
      </c>
      <c r="EO3" t="str">
        <f t="shared" si="2"/>
        <v>20250524</v>
      </c>
      <c r="EP3" t="str">
        <f t="shared" si="2"/>
        <v>20250525</v>
      </c>
      <c r="EQ3" t="str">
        <f t="shared" si="2"/>
        <v>20250526</v>
      </c>
      <c r="ER3" t="str">
        <f t="shared" si="2"/>
        <v>20250527</v>
      </c>
      <c r="ES3" t="str">
        <f t="shared" si="2"/>
        <v>20250528</v>
      </c>
      <c r="ET3" t="str">
        <f t="shared" si="2"/>
        <v>20250529</v>
      </c>
      <c r="EU3" t="str">
        <f t="shared" si="2"/>
        <v>20250530</v>
      </c>
      <c r="EV3" t="str">
        <f t="shared" si="2"/>
        <v>20250531</v>
      </c>
      <c r="EW3" t="str">
        <f t="shared" si="2"/>
        <v>20250601</v>
      </c>
      <c r="EX3" t="str">
        <f t="shared" si="2"/>
        <v>20250602</v>
      </c>
      <c r="EY3" t="str">
        <f t="shared" si="2"/>
        <v>20250603</v>
      </c>
      <c r="EZ3" t="str">
        <f t="shared" si="2"/>
        <v>20250604</v>
      </c>
      <c r="FA3" t="str">
        <f t="shared" si="2"/>
        <v>20250605</v>
      </c>
      <c r="FB3" t="str">
        <f t="shared" si="2"/>
        <v>20250606</v>
      </c>
      <c r="FC3" t="str">
        <f t="shared" si="2"/>
        <v>20250607</v>
      </c>
      <c r="FD3" t="str">
        <f t="shared" si="2"/>
        <v>20250608</v>
      </c>
      <c r="FE3" t="str">
        <f t="shared" si="2"/>
        <v>20250609</v>
      </c>
      <c r="FF3" t="str">
        <f t="shared" si="2"/>
        <v>20250610</v>
      </c>
      <c r="FG3" t="str">
        <f t="shared" si="2"/>
        <v>20250611</v>
      </c>
      <c r="FH3" t="str">
        <f t="shared" si="2"/>
        <v>20250612</v>
      </c>
      <c r="FI3" t="str">
        <f t="shared" si="2"/>
        <v>20250613</v>
      </c>
      <c r="FJ3" t="str">
        <f t="shared" si="2"/>
        <v>20250614</v>
      </c>
      <c r="FK3" t="str">
        <f t="shared" si="2"/>
        <v>20250615</v>
      </c>
      <c r="FL3" t="str">
        <f t="shared" si="2"/>
        <v>20250616</v>
      </c>
      <c r="FM3" t="str">
        <f t="shared" si="2"/>
        <v>20250617</v>
      </c>
      <c r="FN3" t="str">
        <f t="shared" si="2"/>
        <v>20250618</v>
      </c>
      <c r="FO3" t="str">
        <f t="shared" si="2"/>
        <v>20250619</v>
      </c>
      <c r="FP3" t="str">
        <f t="shared" si="2"/>
        <v>20250620</v>
      </c>
      <c r="FQ3" t="str">
        <f t="shared" si="2"/>
        <v>20250621</v>
      </c>
      <c r="FR3" t="str">
        <f t="shared" si="2"/>
        <v>20250622</v>
      </c>
      <c r="FS3" t="str">
        <f t="shared" si="2"/>
        <v>20250623</v>
      </c>
      <c r="FT3" t="str">
        <f t="shared" si="2"/>
        <v>20250624</v>
      </c>
      <c r="FU3" t="str">
        <f t="shared" si="2"/>
        <v>20250625</v>
      </c>
      <c r="FV3" t="str">
        <f t="shared" si="2"/>
        <v>20250626</v>
      </c>
      <c r="FW3" t="str">
        <f t="shared" si="2"/>
        <v>20250627</v>
      </c>
      <c r="FX3" t="str">
        <f t="shared" si="2"/>
        <v>20250628</v>
      </c>
      <c r="FY3" t="str">
        <f t="shared" si="2"/>
        <v>20250629</v>
      </c>
      <c r="FZ3" t="str">
        <f t="shared" si="2"/>
        <v>20250630</v>
      </c>
      <c r="GA3" t="str">
        <f t="shared" si="2"/>
        <v>20250701</v>
      </c>
      <c r="GB3" t="str">
        <f t="shared" si="2"/>
        <v>20250702</v>
      </c>
      <c r="GC3" t="str">
        <f t="shared" si="2"/>
        <v>20250703</v>
      </c>
      <c r="GD3" t="str">
        <f t="shared" si="2"/>
        <v>20250704</v>
      </c>
      <c r="GE3" t="str">
        <f t="shared" si="2"/>
        <v>20250705</v>
      </c>
      <c r="GF3" t="str">
        <f t="shared" si="2"/>
        <v>20250706</v>
      </c>
      <c r="GG3" t="str">
        <f t="shared" si="2"/>
        <v>20250707</v>
      </c>
      <c r="GH3" t="str">
        <f t="shared" si="2"/>
        <v>20250708</v>
      </c>
      <c r="GI3" t="str">
        <f t="shared" si="2"/>
        <v>20250709</v>
      </c>
      <c r="GJ3" t="str">
        <f t="shared" si="2"/>
        <v>20250710</v>
      </c>
      <c r="GK3" t="str">
        <f t="shared" si="2"/>
        <v>20250711</v>
      </c>
      <c r="GL3" t="str">
        <f t="shared" ref="GL3:IW3" si="3">"2025"&amp;RIGHT(GM1,4)</f>
        <v>20250712</v>
      </c>
      <c r="GM3" t="str">
        <f t="shared" si="3"/>
        <v>20250713</v>
      </c>
      <c r="GN3" t="str">
        <f t="shared" si="3"/>
        <v>20250714</v>
      </c>
      <c r="GO3" t="str">
        <f t="shared" si="3"/>
        <v>20250715</v>
      </c>
      <c r="GP3" t="str">
        <f t="shared" si="3"/>
        <v>20250716</v>
      </c>
      <c r="GQ3" t="str">
        <f t="shared" si="3"/>
        <v>20250717</v>
      </c>
      <c r="GR3" t="str">
        <f t="shared" si="3"/>
        <v>20250718</v>
      </c>
      <c r="GS3" t="str">
        <f t="shared" si="3"/>
        <v>20250719</v>
      </c>
      <c r="GT3" t="str">
        <f t="shared" si="3"/>
        <v>20250720</v>
      </c>
      <c r="GU3" t="str">
        <f t="shared" si="3"/>
        <v>20250721</v>
      </c>
      <c r="GV3" t="str">
        <f t="shared" si="3"/>
        <v>20250722</v>
      </c>
      <c r="GW3" t="str">
        <f t="shared" si="3"/>
        <v>20250723</v>
      </c>
      <c r="GX3" t="str">
        <f t="shared" si="3"/>
        <v>20250724</v>
      </c>
      <c r="GY3" t="str">
        <f t="shared" si="3"/>
        <v>20250725</v>
      </c>
      <c r="GZ3" t="str">
        <f t="shared" si="3"/>
        <v>20250726</v>
      </c>
      <c r="HA3" t="str">
        <f t="shared" si="3"/>
        <v>20250727</v>
      </c>
      <c r="HB3" t="str">
        <f t="shared" si="3"/>
        <v>20250728</v>
      </c>
      <c r="HC3" t="str">
        <f t="shared" si="3"/>
        <v>20250729</v>
      </c>
      <c r="HD3" t="str">
        <f t="shared" si="3"/>
        <v>20250730</v>
      </c>
      <c r="HE3" t="str">
        <f t="shared" si="3"/>
        <v>20250731</v>
      </c>
      <c r="HF3" t="str">
        <f t="shared" si="3"/>
        <v>20250801</v>
      </c>
      <c r="HG3" t="str">
        <f t="shared" si="3"/>
        <v>20250802</v>
      </c>
      <c r="HH3" t="str">
        <f t="shared" si="3"/>
        <v>20250803</v>
      </c>
      <c r="HI3" t="str">
        <f t="shared" si="3"/>
        <v>20250804</v>
      </c>
      <c r="HJ3" t="str">
        <f t="shared" si="3"/>
        <v>20250805</v>
      </c>
      <c r="HK3" t="str">
        <f t="shared" si="3"/>
        <v>20250806</v>
      </c>
      <c r="HL3" t="str">
        <f t="shared" si="3"/>
        <v>20250807</v>
      </c>
      <c r="HM3" t="str">
        <f t="shared" si="3"/>
        <v>20250808</v>
      </c>
      <c r="HN3" t="str">
        <f t="shared" si="3"/>
        <v>20250809</v>
      </c>
      <c r="HO3" t="str">
        <f t="shared" si="3"/>
        <v>20250810</v>
      </c>
      <c r="HP3" t="str">
        <f t="shared" si="3"/>
        <v>20250811</v>
      </c>
      <c r="HQ3" t="str">
        <f t="shared" si="3"/>
        <v>20250812</v>
      </c>
      <c r="HR3" t="str">
        <f t="shared" si="3"/>
        <v>20250813</v>
      </c>
      <c r="HS3" t="str">
        <f t="shared" si="3"/>
        <v>20250814</v>
      </c>
      <c r="HT3" t="str">
        <f t="shared" si="3"/>
        <v>20250815</v>
      </c>
      <c r="HU3" t="str">
        <f t="shared" si="3"/>
        <v>20250816</v>
      </c>
      <c r="HV3" t="str">
        <f t="shared" si="3"/>
        <v>20250817</v>
      </c>
      <c r="HW3" t="str">
        <f t="shared" si="3"/>
        <v>20250818</v>
      </c>
      <c r="HX3" t="str">
        <f t="shared" si="3"/>
        <v>20250819</v>
      </c>
      <c r="HY3" t="str">
        <f t="shared" si="3"/>
        <v>20250820</v>
      </c>
      <c r="HZ3" t="str">
        <f t="shared" si="3"/>
        <v>20250821</v>
      </c>
      <c r="IA3" t="str">
        <f t="shared" si="3"/>
        <v>20250822</v>
      </c>
      <c r="IB3" t="str">
        <f t="shared" si="3"/>
        <v>20250823</v>
      </c>
      <c r="IC3" t="str">
        <f t="shared" si="3"/>
        <v>20250824</v>
      </c>
      <c r="ID3" t="str">
        <f t="shared" si="3"/>
        <v>20250825</v>
      </c>
      <c r="IE3" t="str">
        <f t="shared" si="3"/>
        <v>20250826</v>
      </c>
      <c r="IF3" t="str">
        <f t="shared" si="3"/>
        <v>20250827</v>
      </c>
      <c r="IG3" t="str">
        <f t="shared" si="3"/>
        <v>20250828</v>
      </c>
      <c r="IH3" t="str">
        <f t="shared" si="3"/>
        <v>20250829</v>
      </c>
      <c r="II3" t="str">
        <f t="shared" si="3"/>
        <v>20250830</v>
      </c>
      <c r="IJ3" t="str">
        <f t="shared" si="3"/>
        <v>20250831</v>
      </c>
      <c r="IK3" t="str">
        <f t="shared" si="3"/>
        <v>20250901</v>
      </c>
      <c r="IL3" t="str">
        <f t="shared" si="3"/>
        <v>20250902</v>
      </c>
      <c r="IM3" t="str">
        <f t="shared" si="3"/>
        <v>20250903</v>
      </c>
      <c r="IN3" t="str">
        <f t="shared" si="3"/>
        <v>20250904</v>
      </c>
      <c r="IO3" t="str">
        <f t="shared" si="3"/>
        <v>20250905</v>
      </c>
      <c r="IP3" t="str">
        <f t="shared" si="3"/>
        <v>20250906</v>
      </c>
      <c r="IQ3" t="str">
        <f t="shared" si="3"/>
        <v>20250907</v>
      </c>
      <c r="IR3" t="str">
        <f t="shared" si="3"/>
        <v>20250908</v>
      </c>
      <c r="IS3" t="str">
        <f t="shared" si="3"/>
        <v>20250909</v>
      </c>
      <c r="IT3" t="str">
        <f t="shared" si="3"/>
        <v>20250910</v>
      </c>
      <c r="IU3" t="str">
        <f t="shared" si="3"/>
        <v>20250911</v>
      </c>
      <c r="IV3" t="str">
        <f t="shared" si="3"/>
        <v>20250912</v>
      </c>
      <c r="IW3" t="str">
        <f t="shared" si="3"/>
        <v>20250913</v>
      </c>
      <c r="IX3" t="str">
        <f t="shared" ref="IX3:LI3" si="4">"2025"&amp;RIGHT(IY1,4)</f>
        <v>20250914</v>
      </c>
      <c r="IY3" t="str">
        <f t="shared" si="4"/>
        <v>20250915</v>
      </c>
      <c r="IZ3" t="str">
        <f t="shared" si="4"/>
        <v>20250916</v>
      </c>
      <c r="JA3" t="str">
        <f t="shared" si="4"/>
        <v>20250917</v>
      </c>
      <c r="JB3" t="str">
        <f t="shared" si="4"/>
        <v>20250918</v>
      </c>
      <c r="JC3" t="str">
        <f t="shared" si="4"/>
        <v>20250919</v>
      </c>
      <c r="JD3" t="str">
        <f t="shared" si="4"/>
        <v>20250920</v>
      </c>
      <c r="JE3" t="str">
        <f t="shared" si="4"/>
        <v>20250921</v>
      </c>
      <c r="JF3" t="str">
        <f t="shared" si="4"/>
        <v>20250922</v>
      </c>
      <c r="JG3" t="str">
        <f t="shared" si="4"/>
        <v>20250923</v>
      </c>
      <c r="JH3" t="str">
        <f t="shared" si="4"/>
        <v>20250924</v>
      </c>
      <c r="JI3" t="str">
        <f t="shared" si="4"/>
        <v>20250925</v>
      </c>
      <c r="JJ3" t="str">
        <f t="shared" si="4"/>
        <v>20250926</v>
      </c>
      <c r="JK3" t="str">
        <f t="shared" si="4"/>
        <v>20250927</v>
      </c>
      <c r="JL3" t="str">
        <f t="shared" si="4"/>
        <v>20250928</v>
      </c>
      <c r="JM3" t="str">
        <f t="shared" si="4"/>
        <v>20250929</v>
      </c>
      <c r="JN3" t="str">
        <f t="shared" si="4"/>
        <v>20250930</v>
      </c>
      <c r="JO3" t="str">
        <f t="shared" si="4"/>
        <v>20251001</v>
      </c>
      <c r="JP3" t="str">
        <f t="shared" si="4"/>
        <v>20251002</v>
      </c>
      <c r="JQ3" t="str">
        <f t="shared" si="4"/>
        <v>20251003</v>
      </c>
      <c r="JR3" t="str">
        <f t="shared" si="4"/>
        <v>20251004</v>
      </c>
      <c r="JS3" t="str">
        <f t="shared" si="4"/>
        <v>20251005</v>
      </c>
      <c r="JT3" t="str">
        <f t="shared" si="4"/>
        <v>20251006</v>
      </c>
      <c r="JU3" t="str">
        <f t="shared" si="4"/>
        <v>20251007</v>
      </c>
      <c r="JV3" t="str">
        <f t="shared" si="4"/>
        <v>20251008</v>
      </c>
      <c r="JW3" t="str">
        <f t="shared" si="4"/>
        <v>20251009</v>
      </c>
      <c r="JX3" t="str">
        <f t="shared" si="4"/>
        <v>20251010</v>
      </c>
      <c r="JY3" t="str">
        <f t="shared" si="4"/>
        <v>20251011</v>
      </c>
      <c r="JZ3" t="str">
        <f t="shared" si="4"/>
        <v>20251012</v>
      </c>
      <c r="KA3" t="str">
        <f t="shared" si="4"/>
        <v>20251013</v>
      </c>
      <c r="KB3" t="str">
        <f t="shared" si="4"/>
        <v>20251014</v>
      </c>
      <c r="KC3" t="str">
        <f t="shared" si="4"/>
        <v>20251015</v>
      </c>
      <c r="KD3" t="str">
        <f t="shared" si="4"/>
        <v>20251016</v>
      </c>
      <c r="KE3" t="str">
        <f t="shared" si="4"/>
        <v>20251017</v>
      </c>
      <c r="KF3" t="str">
        <f t="shared" si="4"/>
        <v>20251018</v>
      </c>
      <c r="KG3" t="str">
        <f t="shared" si="4"/>
        <v>20251019</v>
      </c>
      <c r="KH3" t="str">
        <f t="shared" si="4"/>
        <v>20251020</v>
      </c>
      <c r="KI3" t="str">
        <f t="shared" si="4"/>
        <v>20251021</v>
      </c>
      <c r="KJ3" t="str">
        <f t="shared" si="4"/>
        <v>20251022</v>
      </c>
      <c r="KK3" t="str">
        <f t="shared" si="4"/>
        <v>20251023</v>
      </c>
      <c r="KL3" t="str">
        <f t="shared" si="4"/>
        <v>20251024</v>
      </c>
      <c r="KM3" t="str">
        <f t="shared" si="4"/>
        <v>20251025</v>
      </c>
      <c r="KN3" t="str">
        <f t="shared" si="4"/>
        <v>20251026</v>
      </c>
      <c r="KO3" t="str">
        <f t="shared" si="4"/>
        <v>20251027</v>
      </c>
      <c r="KP3" t="str">
        <f t="shared" si="4"/>
        <v>20251028</v>
      </c>
      <c r="KQ3" t="str">
        <f t="shared" si="4"/>
        <v>20251029</v>
      </c>
      <c r="KR3" t="str">
        <f t="shared" si="4"/>
        <v>20251030</v>
      </c>
      <c r="KS3" t="str">
        <f t="shared" si="4"/>
        <v>20251031</v>
      </c>
      <c r="KT3" t="str">
        <f t="shared" si="4"/>
        <v>20251101</v>
      </c>
      <c r="KU3" t="str">
        <f t="shared" si="4"/>
        <v>20251102</v>
      </c>
      <c r="KV3" t="str">
        <f t="shared" si="4"/>
        <v>20251103</v>
      </c>
      <c r="KW3" t="str">
        <f t="shared" si="4"/>
        <v>20251104</v>
      </c>
      <c r="KX3" t="str">
        <f t="shared" si="4"/>
        <v>20251105</v>
      </c>
      <c r="KY3" t="str">
        <f t="shared" si="4"/>
        <v>20251106</v>
      </c>
      <c r="KZ3" t="str">
        <f t="shared" si="4"/>
        <v>20251107</v>
      </c>
      <c r="LA3" t="str">
        <f t="shared" si="4"/>
        <v>20251108</v>
      </c>
      <c r="LB3" t="str">
        <f t="shared" si="4"/>
        <v>20251109</v>
      </c>
      <c r="LC3" t="str">
        <f t="shared" si="4"/>
        <v>20251110</v>
      </c>
      <c r="LD3" t="str">
        <f t="shared" si="4"/>
        <v>20251111</v>
      </c>
      <c r="LE3" t="str">
        <f t="shared" si="4"/>
        <v>20251112</v>
      </c>
      <c r="LF3" t="str">
        <f t="shared" si="4"/>
        <v>20251113</v>
      </c>
      <c r="LG3" t="str">
        <f t="shared" si="4"/>
        <v>20251114</v>
      </c>
      <c r="LH3" t="str">
        <f t="shared" si="4"/>
        <v>20251115</v>
      </c>
      <c r="LI3" t="str">
        <f t="shared" si="4"/>
        <v>20251116</v>
      </c>
      <c r="LJ3" t="str">
        <f t="shared" ref="LJ3:LW3" si="5">"2025"&amp;RIGHT(LK1,4)</f>
        <v>20251117</v>
      </c>
      <c r="LK3" t="str">
        <f t="shared" si="5"/>
        <v>20251118</v>
      </c>
      <c r="LL3" t="str">
        <f t="shared" si="5"/>
        <v>20251119</v>
      </c>
      <c r="LM3" t="str">
        <f t="shared" si="5"/>
        <v>20251120</v>
      </c>
      <c r="LN3" t="str">
        <f t="shared" si="5"/>
        <v>20251121</v>
      </c>
      <c r="LO3" t="str">
        <f t="shared" si="5"/>
        <v>20251122</v>
      </c>
      <c r="LP3" t="str">
        <f t="shared" si="5"/>
        <v>20251123</v>
      </c>
      <c r="LQ3" t="str">
        <f t="shared" si="5"/>
        <v>20251124</v>
      </c>
      <c r="LR3" t="str">
        <f t="shared" si="5"/>
        <v>20251125</v>
      </c>
      <c r="LS3" t="str">
        <f t="shared" si="5"/>
        <v>20251126</v>
      </c>
      <c r="LT3" t="str">
        <f t="shared" si="5"/>
        <v>20251127</v>
      </c>
      <c r="LU3" t="str">
        <f t="shared" si="5"/>
        <v>20251128</v>
      </c>
      <c r="LV3" t="str">
        <f t="shared" si="5"/>
        <v>20251129</v>
      </c>
      <c r="LW3" t="str">
        <f t="shared" si="5"/>
        <v>20251130</v>
      </c>
      <c r="LX3">
        <v>20251201</v>
      </c>
      <c r="LY3">
        <v>20251202</v>
      </c>
      <c r="LZ3">
        <v>20251203</v>
      </c>
      <c r="MA3">
        <v>20251204</v>
      </c>
      <c r="MB3">
        <v>20251205</v>
      </c>
      <c r="MC3">
        <v>20251206</v>
      </c>
      <c r="MD3">
        <v>20251207</v>
      </c>
      <c r="ME3">
        <v>20251208</v>
      </c>
      <c r="MF3">
        <v>20251209</v>
      </c>
      <c r="MG3">
        <v>20251210</v>
      </c>
      <c r="MH3">
        <v>20251211</v>
      </c>
      <c r="MI3">
        <v>20251212</v>
      </c>
      <c r="MJ3">
        <v>20251213</v>
      </c>
      <c r="MK3">
        <v>20251214</v>
      </c>
      <c r="ML3">
        <v>20251215</v>
      </c>
      <c r="MM3">
        <v>20251216</v>
      </c>
      <c r="MN3">
        <v>20251217</v>
      </c>
      <c r="MO3">
        <v>20251218</v>
      </c>
      <c r="MP3">
        <v>20251219</v>
      </c>
      <c r="MQ3">
        <v>20251220</v>
      </c>
      <c r="MR3">
        <v>20251221</v>
      </c>
      <c r="MS3">
        <v>20251222</v>
      </c>
      <c r="MT3">
        <v>20251223</v>
      </c>
      <c r="MU3">
        <v>20251224</v>
      </c>
      <c r="MV3">
        <v>20251225</v>
      </c>
      <c r="MW3">
        <v>20251226</v>
      </c>
      <c r="MX3">
        <v>20251227</v>
      </c>
      <c r="MY3">
        <v>20251228</v>
      </c>
      <c r="MZ3">
        <v>20251229</v>
      </c>
      <c r="NA3">
        <v>20251230</v>
      </c>
      <c r="NB3">
        <v>20251231</v>
      </c>
    </row>
    <row r="4" spans="1:367">
      <c r="A4" t="s">
        <v>155</v>
      </c>
      <c r="B4" s="67">
        <v>819306000</v>
      </c>
      <c r="C4">
        <v>620992000</v>
      </c>
      <c r="D4" s="67">
        <v>2037656000</v>
      </c>
      <c r="E4">
        <v>1378755000</v>
      </c>
      <c r="F4">
        <v>907927000</v>
      </c>
      <c r="G4">
        <v>1407329000</v>
      </c>
      <c r="H4" s="67">
        <v>843475000</v>
      </c>
      <c r="I4" s="67">
        <v>717514000</v>
      </c>
      <c r="J4" s="67">
        <v>1169388000</v>
      </c>
      <c r="K4" s="67">
        <v>968038000</v>
      </c>
      <c r="L4" s="67">
        <v>898231000</v>
      </c>
      <c r="M4" s="67">
        <v>627027000</v>
      </c>
      <c r="N4" s="67">
        <v>910378000</v>
      </c>
      <c r="O4">
        <v>1016650000</v>
      </c>
      <c r="P4">
        <v>1043621000</v>
      </c>
      <c r="Q4">
        <v>1241513000</v>
      </c>
      <c r="R4">
        <v>1419443000</v>
      </c>
      <c r="S4" s="67">
        <v>1327763000</v>
      </c>
      <c r="T4" s="67">
        <v>633862000</v>
      </c>
      <c r="U4">
        <v>1175689000</v>
      </c>
      <c r="V4">
        <v>1749160000</v>
      </c>
      <c r="W4">
        <v>1435463000</v>
      </c>
      <c r="X4">
        <v>956931000</v>
      </c>
      <c r="Y4">
        <v>1217886000</v>
      </c>
      <c r="Z4">
        <v>795799000</v>
      </c>
      <c r="AA4">
        <v>706278000</v>
      </c>
      <c r="AB4">
        <v>707888000</v>
      </c>
      <c r="AC4">
        <v>755285000</v>
      </c>
      <c r="AD4">
        <v>499296000</v>
      </c>
      <c r="AE4">
        <v>628848000</v>
      </c>
      <c r="AF4">
        <v>382479000</v>
      </c>
      <c r="AG4">
        <v>640729000</v>
      </c>
      <c r="AH4">
        <v>498036000</v>
      </c>
      <c r="AI4">
        <v>2496017000</v>
      </c>
      <c r="AJ4">
        <v>1337945000</v>
      </c>
      <c r="AK4">
        <v>845878000</v>
      </c>
      <c r="AL4" s="67">
        <v>994208000</v>
      </c>
      <c r="AM4">
        <v>1003413000</v>
      </c>
      <c r="AN4" s="67">
        <v>1016292000</v>
      </c>
      <c r="AO4" s="67">
        <v>588825000</v>
      </c>
      <c r="AP4">
        <v>957525000</v>
      </c>
      <c r="AQ4">
        <v>914427000</v>
      </c>
      <c r="AR4">
        <v>1288147000</v>
      </c>
      <c r="AS4">
        <v>1026629000</v>
      </c>
      <c r="AT4">
        <v>1254937000</v>
      </c>
      <c r="AU4" s="67">
        <v>598973000</v>
      </c>
      <c r="AV4" s="67">
        <v>591769000</v>
      </c>
      <c r="AW4">
        <v>602228000</v>
      </c>
      <c r="AX4">
        <v>551503000</v>
      </c>
      <c r="AY4">
        <v>472172000</v>
      </c>
      <c r="AZ4" s="67">
        <v>1216062000</v>
      </c>
      <c r="BA4">
        <v>926308000</v>
      </c>
      <c r="BB4">
        <v>831535000</v>
      </c>
      <c r="BC4">
        <v>622742000</v>
      </c>
      <c r="BD4">
        <v>609320000</v>
      </c>
      <c r="BE4">
        <v>954025000</v>
      </c>
      <c r="BF4">
        <v>976458000</v>
      </c>
      <c r="BG4">
        <v>698485000</v>
      </c>
      <c r="BH4">
        <v>667790000</v>
      </c>
      <c r="BI4">
        <v>811660000</v>
      </c>
      <c r="BJ4">
        <v>675252000</v>
      </c>
      <c r="BK4">
        <v>2709151000</v>
      </c>
      <c r="BL4">
        <v>1423731000</v>
      </c>
      <c r="BM4">
        <v>1144046000</v>
      </c>
      <c r="BN4">
        <v>1513605000</v>
      </c>
      <c r="BO4" s="67">
        <v>955059000</v>
      </c>
      <c r="BP4" s="67">
        <v>910741000</v>
      </c>
      <c r="BQ4" s="67">
        <v>825591000</v>
      </c>
      <c r="BR4">
        <v>659456000</v>
      </c>
      <c r="BS4">
        <v>772114000</v>
      </c>
      <c r="BT4">
        <v>979301000</v>
      </c>
      <c r="BU4" s="67">
        <v>1035549000</v>
      </c>
      <c r="BV4">
        <v>1167406000</v>
      </c>
      <c r="BW4">
        <v>773306000</v>
      </c>
      <c r="BX4">
        <v>512805000</v>
      </c>
      <c r="BY4">
        <v>699366000</v>
      </c>
      <c r="BZ4">
        <v>742040000</v>
      </c>
      <c r="CA4">
        <v>1223662000</v>
      </c>
      <c r="CB4">
        <v>905787000</v>
      </c>
      <c r="CC4">
        <v>682671000</v>
      </c>
      <c r="CD4">
        <v>603700000</v>
      </c>
      <c r="CE4">
        <v>824687000</v>
      </c>
      <c r="CF4">
        <v>1203559000</v>
      </c>
      <c r="CG4">
        <v>1094556000</v>
      </c>
      <c r="CH4">
        <v>785140000</v>
      </c>
      <c r="CI4">
        <v>930704000</v>
      </c>
      <c r="CJ4" s="67">
        <v>779312000</v>
      </c>
      <c r="CK4" s="67">
        <v>760879000</v>
      </c>
      <c r="CL4" s="67">
        <v>746944000</v>
      </c>
      <c r="CM4" s="67">
        <v>1093788000</v>
      </c>
      <c r="CN4" s="67">
        <v>973129000</v>
      </c>
      <c r="CO4" s="67">
        <v>2796281000</v>
      </c>
      <c r="CP4" s="67">
        <v>1503186000</v>
      </c>
      <c r="CQ4" s="67">
        <v>1317381000</v>
      </c>
      <c r="CR4" s="67">
        <v>1072784000</v>
      </c>
      <c r="CS4" s="67">
        <v>779312000</v>
      </c>
      <c r="CT4" s="67">
        <v>738388000</v>
      </c>
      <c r="CU4" s="67">
        <v>1096327000</v>
      </c>
      <c r="CV4" s="67">
        <v>1012624000</v>
      </c>
      <c r="CW4" s="67">
        <v>1117034000</v>
      </c>
      <c r="CX4" s="67">
        <v>800397000</v>
      </c>
      <c r="CY4" s="67">
        <v>778802000</v>
      </c>
      <c r="CZ4" s="67">
        <v>716638000</v>
      </c>
      <c r="DA4">
        <v>712412000</v>
      </c>
      <c r="DB4">
        <v>747689000</v>
      </c>
      <c r="DC4" s="67">
        <v>672951000</v>
      </c>
      <c r="DD4">
        <v>760357000</v>
      </c>
      <c r="DE4">
        <v>713208000</v>
      </c>
      <c r="DF4">
        <v>459825000</v>
      </c>
      <c r="DG4">
        <v>563591000</v>
      </c>
      <c r="DH4">
        <v>1233820000</v>
      </c>
      <c r="DI4" s="67">
        <v>894912000</v>
      </c>
      <c r="DJ4">
        <v>593193000</v>
      </c>
      <c r="DK4">
        <v>718256000</v>
      </c>
      <c r="DL4" s="67">
        <v>1000325000</v>
      </c>
      <c r="DM4">
        <v>791175000</v>
      </c>
      <c r="DN4">
        <v>782878000</v>
      </c>
      <c r="DO4">
        <v>870092000</v>
      </c>
      <c r="DP4" s="67">
        <v>729249000</v>
      </c>
      <c r="DQ4" s="67">
        <v>556644000</v>
      </c>
      <c r="DR4" s="67">
        <v>643218000</v>
      </c>
      <c r="DS4" s="67">
        <v>2419156000</v>
      </c>
      <c r="DT4" s="67">
        <v>1202355000</v>
      </c>
      <c r="DU4" s="67">
        <v>986728000</v>
      </c>
      <c r="DV4">
        <v>1334249000</v>
      </c>
      <c r="DW4">
        <v>1256892000</v>
      </c>
      <c r="DX4">
        <v>1181469000</v>
      </c>
      <c r="DY4">
        <v>812092000</v>
      </c>
      <c r="DZ4" s="67">
        <v>977898000</v>
      </c>
      <c r="EA4" s="67">
        <v>736384000</v>
      </c>
      <c r="EB4" s="67">
        <v>762089000</v>
      </c>
      <c r="EC4">
        <v>1091918000</v>
      </c>
      <c r="ED4">
        <v>1460351000</v>
      </c>
      <c r="EE4">
        <v>948810000</v>
      </c>
      <c r="EF4" s="67">
        <v>637099000</v>
      </c>
      <c r="EG4">
        <v>793348000</v>
      </c>
      <c r="EH4">
        <v>584070000</v>
      </c>
      <c r="EI4">
        <v>420897000</v>
      </c>
      <c r="EJ4">
        <v>825034000</v>
      </c>
      <c r="EK4">
        <v>761452000</v>
      </c>
      <c r="EL4">
        <v>649141000</v>
      </c>
      <c r="EM4" s="67">
        <v>954808000</v>
      </c>
      <c r="EN4" s="67">
        <v>1094145000</v>
      </c>
      <c r="EO4" s="67">
        <v>706992000</v>
      </c>
      <c r="EP4">
        <v>567039000</v>
      </c>
      <c r="EQ4">
        <v>770576000</v>
      </c>
      <c r="ER4">
        <v>715270000</v>
      </c>
      <c r="ES4">
        <v>524150000</v>
      </c>
      <c r="ET4">
        <v>820693000</v>
      </c>
      <c r="EU4" s="67">
        <v>838285000</v>
      </c>
      <c r="EV4" s="67">
        <v>695696000</v>
      </c>
      <c r="EW4" s="67">
        <v>704073000</v>
      </c>
      <c r="EX4" s="67">
        <v>1852383000</v>
      </c>
      <c r="EY4" s="67">
        <v>1019631000</v>
      </c>
      <c r="EZ4" s="67">
        <v>826770000</v>
      </c>
      <c r="FA4" s="67">
        <v>965537000</v>
      </c>
      <c r="FB4" s="67">
        <v>978471000</v>
      </c>
      <c r="FC4" s="67">
        <v>958382000</v>
      </c>
      <c r="FD4" s="67">
        <v>1080263000</v>
      </c>
      <c r="FE4">
        <v>972498000</v>
      </c>
      <c r="FF4" s="67">
        <v>870707000</v>
      </c>
      <c r="FG4" s="67">
        <v>1109480000</v>
      </c>
      <c r="FH4" s="67">
        <v>852669000</v>
      </c>
      <c r="FI4" s="67">
        <v>1066238000</v>
      </c>
      <c r="FJ4" s="67">
        <v>749008000</v>
      </c>
      <c r="FK4" s="67">
        <v>622103000</v>
      </c>
      <c r="FL4" s="67">
        <v>588643000</v>
      </c>
      <c r="FM4" s="67">
        <v>787421000</v>
      </c>
      <c r="FN4" s="67">
        <v>416044000</v>
      </c>
      <c r="FO4" s="67">
        <v>1153473000</v>
      </c>
      <c r="FP4" s="67">
        <v>883558000</v>
      </c>
      <c r="FQ4" s="67">
        <v>706634000</v>
      </c>
      <c r="FR4" s="67">
        <v>557088000</v>
      </c>
      <c r="FS4" s="67">
        <v>776528000</v>
      </c>
      <c r="FT4" s="67">
        <v>505359000</v>
      </c>
      <c r="FU4" s="67">
        <v>527842000</v>
      </c>
      <c r="FV4" s="92">
        <v>857319000</v>
      </c>
      <c r="FW4" s="67">
        <v>860687000</v>
      </c>
      <c r="FX4" s="92">
        <v>617276000</v>
      </c>
      <c r="FY4" s="92">
        <v>654670000</v>
      </c>
      <c r="FZ4" s="67">
        <v>648043000</v>
      </c>
      <c r="GA4" s="67">
        <v>1798790000</v>
      </c>
      <c r="GB4" s="67">
        <v>1284858000</v>
      </c>
      <c r="GC4" s="67">
        <v>1434280000</v>
      </c>
      <c r="GD4" s="67">
        <v>1167753000</v>
      </c>
      <c r="GE4" s="67">
        <v>805418000</v>
      </c>
      <c r="GF4" s="67">
        <v>571599000</v>
      </c>
      <c r="GG4" s="67">
        <v>783353000</v>
      </c>
      <c r="GH4" s="67">
        <v>819702000</v>
      </c>
      <c r="GI4" s="67">
        <v>1102768000</v>
      </c>
      <c r="GJ4" s="67">
        <v>1036160000</v>
      </c>
      <c r="GK4" s="67">
        <v>988087000</v>
      </c>
      <c r="GL4" s="67">
        <v>872945000</v>
      </c>
      <c r="GM4" s="67">
        <v>487232000</v>
      </c>
      <c r="GN4" s="67">
        <v>539001000</v>
      </c>
      <c r="GO4" s="67">
        <v>520940000</v>
      </c>
      <c r="GP4" s="67">
        <v>500407000</v>
      </c>
      <c r="GQ4" s="67">
        <v>792202000</v>
      </c>
      <c r="GR4" s="67">
        <v>841294000</v>
      </c>
      <c r="GS4" s="67">
        <v>1009397000</v>
      </c>
      <c r="GT4" s="67">
        <v>631104000</v>
      </c>
      <c r="GU4" s="67">
        <v>635618000</v>
      </c>
      <c r="GV4" s="67">
        <v>854904000</v>
      </c>
      <c r="GW4" s="67">
        <v>697018000</v>
      </c>
      <c r="GX4" s="67">
        <v>646528000</v>
      </c>
      <c r="GY4" s="67">
        <v>807292000</v>
      </c>
      <c r="GZ4" s="67">
        <v>719768000</v>
      </c>
      <c r="HA4" s="67">
        <v>863142000</v>
      </c>
      <c r="HB4" s="67">
        <v>1003174000</v>
      </c>
      <c r="HC4" s="67">
        <v>671139000</v>
      </c>
      <c r="HD4" s="67">
        <v>501631000</v>
      </c>
      <c r="HE4" s="67">
        <v>755991000</v>
      </c>
      <c r="HF4" s="67">
        <v>2194467000</v>
      </c>
      <c r="HG4" s="67">
        <v>1078250000</v>
      </c>
      <c r="HH4" s="67">
        <v>770731000</v>
      </c>
      <c r="HI4" s="67">
        <v>1250766000</v>
      </c>
      <c r="HJ4" s="67">
        <v>859973000</v>
      </c>
      <c r="HK4" s="67">
        <v>987933000</v>
      </c>
      <c r="HL4" s="67">
        <v>753298000</v>
      </c>
      <c r="HM4" s="67">
        <v>1412343000</v>
      </c>
      <c r="HN4" s="67">
        <v>989499000</v>
      </c>
      <c r="HO4" s="92">
        <v>704499000</v>
      </c>
      <c r="HP4" s="67">
        <v>812321000</v>
      </c>
      <c r="HQ4" s="67">
        <v>599773000</v>
      </c>
      <c r="HR4" s="67">
        <v>773870000</v>
      </c>
      <c r="HS4" s="67">
        <v>888830000</v>
      </c>
      <c r="HT4" s="67">
        <v>810326000</v>
      </c>
      <c r="HU4" s="67">
        <v>736821000</v>
      </c>
      <c r="HV4" s="67">
        <v>581389000</v>
      </c>
      <c r="HW4" s="67">
        <v>578038000</v>
      </c>
      <c r="HX4" s="67">
        <v>549389000</v>
      </c>
      <c r="HY4" s="67">
        <v>774414000</v>
      </c>
      <c r="HZ4" s="67">
        <v>663030000</v>
      </c>
      <c r="IA4" s="67">
        <v>789727000</v>
      </c>
      <c r="IB4" s="67">
        <v>689730000</v>
      </c>
      <c r="IC4" s="67">
        <v>533718000</v>
      </c>
      <c r="ID4" s="67">
        <v>709236000</v>
      </c>
      <c r="IE4" s="67">
        <v>568867000</v>
      </c>
      <c r="IF4" s="67">
        <v>689368000</v>
      </c>
      <c r="IG4" s="67">
        <v>725707000</v>
      </c>
      <c r="IH4" s="67">
        <v>566175000</v>
      </c>
      <c r="II4" s="67">
        <v>737907000</v>
      </c>
      <c r="IJ4" s="67">
        <v>619904000</v>
      </c>
      <c r="IK4" s="67">
        <v>2052644000</v>
      </c>
      <c r="IL4" s="67">
        <v>1127998000</v>
      </c>
      <c r="IM4">
        <v>1457755000</v>
      </c>
      <c r="IN4" s="67">
        <v>1368098000</v>
      </c>
      <c r="IO4" s="67">
        <v>969198000</v>
      </c>
      <c r="IP4" s="67">
        <v>1014900000</v>
      </c>
      <c r="IQ4" s="67">
        <v>1100719000</v>
      </c>
      <c r="IR4" s="67">
        <v>914763000</v>
      </c>
      <c r="IS4">
        <v>965813000</v>
      </c>
      <c r="IT4" s="67">
        <v>658352000</v>
      </c>
      <c r="IU4" s="67">
        <v>1027507000</v>
      </c>
      <c r="IV4" s="67">
        <v>1000031000</v>
      </c>
      <c r="IW4" s="67">
        <v>837133000</v>
      </c>
      <c r="IX4" s="67">
        <v>796098000</v>
      </c>
      <c r="IY4" s="67">
        <v>459789000</v>
      </c>
      <c r="IZ4">
        <v>388294000</v>
      </c>
      <c r="JA4" s="67">
        <v>1107080000</v>
      </c>
      <c r="JB4" s="67">
        <v>713533000</v>
      </c>
      <c r="JC4">
        <v>814356000</v>
      </c>
      <c r="JD4">
        <v>542797000</v>
      </c>
      <c r="JE4">
        <v>521211000</v>
      </c>
      <c r="JF4" s="67">
        <v>902246000</v>
      </c>
      <c r="JG4" s="67">
        <v>906422000</v>
      </c>
      <c r="JH4" s="67">
        <v>668366000</v>
      </c>
      <c r="JI4" s="67">
        <v>961110000</v>
      </c>
      <c r="JJ4" s="67">
        <v>1099614000</v>
      </c>
      <c r="JK4" s="67">
        <v>953749000</v>
      </c>
      <c r="JL4" s="67">
        <v>711987000</v>
      </c>
      <c r="JM4" s="67">
        <v>717568000</v>
      </c>
      <c r="JN4" s="67">
        <v>753764000</v>
      </c>
      <c r="JO4" s="67">
        <v>2038025000</v>
      </c>
      <c r="JP4" s="67">
        <v>1062415000</v>
      </c>
      <c r="JQ4" s="67">
        <v>1038598000</v>
      </c>
      <c r="JR4" s="67">
        <v>817182000</v>
      </c>
      <c r="JS4" s="67">
        <v>889837000</v>
      </c>
      <c r="JT4" s="67">
        <v>1059483000</v>
      </c>
      <c r="JU4" s="67">
        <v>874453000</v>
      </c>
      <c r="JV4" s="67">
        <v>803808000</v>
      </c>
      <c r="JW4" s="67">
        <v>662185000</v>
      </c>
      <c r="JX4" s="67">
        <v>877876000</v>
      </c>
      <c r="JY4" s="67">
        <v>931688000</v>
      </c>
      <c r="JZ4" s="67">
        <v>689883000</v>
      </c>
      <c r="KA4" s="67">
        <v>453699000</v>
      </c>
      <c r="KB4" s="67">
        <v>548979000</v>
      </c>
      <c r="KC4" s="67">
        <v>436722000</v>
      </c>
      <c r="KD4" s="67">
        <v>1082953000</v>
      </c>
      <c r="KE4" s="67">
        <v>548652000</v>
      </c>
      <c r="KF4" s="67">
        <v>409245000</v>
      </c>
      <c r="KG4" s="67">
        <v>477690000</v>
      </c>
      <c r="KH4" s="67">
        <v>440258000</v>
      </c>
      <c r="KI4" s="67">
        <v>493128000</v>
      </c>
      <c r="KJ4" s="67">
        <v>879695000</v>
      </c>
      <c r="KK4" s="67">
        <v>941411000</v>
      </c>
      <c r="KL4" s="67">
        <v>847288000</v>
      </c>
      <c r="KM4" s="67">
        <v>728453000</v>
      </c>
      <c r="KN4" s="67">
        <v>601164000</v>
      </c>
      <c r="KO4" s="67">
        <v>651749000</v>
      </c>
      <c r="KP4" s="67">
        <v>805159000</v>
      </c>
      <c r="KQ4">
        <v>940006000</v>
      </c>
      <c r="KR4" s="67">
        <v>824413000</v>
      </c>
      <c r="KS4" s="67">
        <v>827572000</v>
      </c>
      <c r="KT4" s="67">
        <v>666723000</v>
      </c>
      <c r="KU4" s="67">
        <v>454519000</v>
      </c>
      <c r="KV4" s="67">
        <v>996220000</v>
      </c>
      <c r="KW4" s="67">
        <v>763201000</v>
      </c>
      <c r="KX4" s="67">
        <v>2570029000</v>
      </c>
      <c r="KY4" s="67">
        <v>1852163000</v>
      </c>
      <c r="KZ4" s="67">
        <v>1471487000</v>
      </c>
      <c r="LA4" s="67">
        <v>1337562000</v>
      </c>
      <c r="LB4" s="67">
        <v>827975000</v>
      </c>
      <c r="LC4" s="67">
        <v>942013000</v>
      </c>
      <c r="LD4">
        <v>699557000</v>
      </c>
      <c r="LE4" s="67">
        <v>978437000</v>
      </c>
      <c r="LF4" s="67">
        <v>820102000</v>
      </c>
      <c r="LG4">
        <v>909708000</v>
      </c>
      <c r="LH4">
        <v>445762000</v>
      </c>
      <c r="LI4">
        <v>297860000</v>
      </c>
      <c r="LJ4">
        <v>410030000</v>
      </c>
      <c r="LK4">
        <v>425445000</v>
      </c>
      <c r="LL4">
        <v>559336000</v>
      </c>
      <c r="LM4">
        <v>365353000</v>
      </c>
      <c r="LN4">
        <v>409457000</v>
      </c>
      <c r="LO4">
        <v>377198000</v>
      </c>
      <c r="LP4">
        <v>356542000</v>
      </c>
      <c r="LQ4" s="67">
        <v>694062000</v>
      </c>
      <c r="LR4" s="67">
        <v>810490000</v>
      </c>
      <c r="LS4" s="67">
        <v>534430000</v>
      </c>
      <c r="LT4" s="67">
        <v>602766000</v>
      </c>
      <c r="LU4" s="67">
        <v>601186000</v>
      </c>
      <c r="LV4" s="67">
        <v>740202000</v>
      </c>
      <c r="LW4" s="67">
        <v>546839000</v>
      </c>
      <c r="LX4">
        <v>552463000</v>
      </c>
      <c r="LY4">
        <v>408027000</v>
      </c>
      <c r="LZ4">
        <v>2208045000</v>
      </c>
      <c r="MA4">
        <v>1002781000</v>
      </c>
      <c r="MB4" s="92">
        <v>1223920000</v>
      </c>
      <c r="MC4" s="92">
        <v>1009837000</v>
      </c>
      <c r="MD4" s="92">
        <v>682505000</v>
      </c>
      <c r="ME4" s="67">
        <v>1026833000</v>
      </c>
      <c r="MF4">
        <v>933669000</v>
      </c>
      <c r="MG4" s="67">
        <v>1319480000</v>
      </c>
      <c r="MH4" s="67">
        <v>1021127000</v>
      </c>
      <c r="MI4" s="67">
        <v>737965000</v>
      </c>
      <c r="MJ4" s="67">
        <v>656854000</v>
      </c>
      <c r="MK4" s="67">
        <v>518526000</v>
      </c>
      <c r="ML4">
        <v>518596000</v>
      </c>
      <c r="MM4">
        <v>597088000</v>
      </c>
      <c r="MN4" s="67">
        <v>676178000</v>
      </c>
      <c r="MO4" s="67">
        <v>487327000</v>
      </c>
      <c r="MP4" s="67">
        <v>456999000</v>
      </c>
      <c r="MQ4" s="67">
        <v>428167000</v>
      </c>
      <c r="MR4" s="67">
        <v>357084000</v>
      </c>
      <c r="MS4" s="67">
        <v>401435000</v>
      </c>
      <c r="MT4">
        <v>468110000</v>
      </c>
      <c r="MU4" s="67">
        <v>771319000</v>
      </c>
      <c r="MV4" s="67">
        <v>538510000</v>
      </c>
      <c r="MW4" s="67">
        <v>488535000</v>
      </c>
      <c r="MX4" s="67">
        <v>440531000</v>
      </c>
      <c r="MY4" s="67">
        <v>592742000</v>
      </c>
      <c r="MZ4" s="67">
        <v>534584000</v>
      </c>
      <c r="NA4" s="67">
        <v>416994000</v>
      </c>
      <c r="NB4" s="67">
        <v>474777000</v>
      </c>
    </row>
    <row r="5" spans="1:367">
      <c r="A5" t="s">
        <v>563</v>
      </c>
      <c r="B5" t="str">
        <f>"2026"&amp;RIGHT(B3,4)</f>
        <v>20260101</v>
      </c>
      <c r="C5" t="str">
        <f t="shared" ref="C5:BN5" si="6">"2026"&amp;RIGHT(C3,4)</f>
        <v>20260102</v>
      </c>
      <c r="D5" t="str">
        <f t="shared" si="6"/>
        <v>20260103</v>
      </c>
      <c r="E5" t="str">
        <f t="shared" si="6"/>
        <v>20260104</v>
      </c>
      <c r="F5" t="str">
        <f t="shared" si="6"/>
        <v>20260105</v>
      </c>
      <c r="G5" t="str">
        <f t="shared" si="6"/>
        <v>20260106</v>
      </c>
      <c r="H5" t="str">
        <f t="shared" si="6"/>
        <v>20260107</v>
      </c>
      <c r="I5" t="str">
        <f t="shared" si="6"/>
        <v>20260108</v>
      </c>
      <c r="J5" t="str">
        <f t="shared" si="6"/>
        <v>20260109</v>
      </c>
      <c r="K5" t="str">
        <f t="shared" si="6"/>
        <v>20260110</v>
      </c>
      <c r="L5" t="str">
        <f t="shared" si="6"/>
        <v>20260111</v>
      </c>
      <c r="M5" t="str">
        <f t="shared" si="6"/>
        <v>20260112</v>
      </c>
      <c r="N5" t="str">
        <f t="shared" si="6"/>
        <v>20260113</v>
      </c>
      <c r="O5" t="str">
        <f t="shared" si="6"/>
        <v>20260114</v>
      </c>
      <c r="P5" t="str">
        <f t="shared" si="6"/>
        <v>20260115</v>
      </c>
      <c r="Q5" t="str">
        <f t="shared" si="6"/>
        <v>20260116</v>
      </c>
      <c r="R5" t="str">
        <f t="shared" si="6"/>
        <v>20260117</v>
      </c>
      <c r="S5" t="str">
        <f t="shared" si="6"/>
        <v>20260118</v>
      </c>
      <c r="T5" t="str">
        <f t="shared" si="6"/>
        <v>20260119</v>
      </c>
      <c r="U5" t="str">
        <f t="shared" si="6"/>
        <v>20260120</v>
      </c>
      <c r="V5" t="str">
        <f t="shared" si="6"/>
        <v>20260121</v>
      </c>
      <c r="W5" t="str">
        <f t="shared" si="6"/>
        <v>20260122</v>
      </c>
      <c r="X5" t="str">
        <f t="shared" si="6"/>
        <v>20260123</v>
      </c>
      <c r="Y5" t="str">
        <f t="shared" si="6"/>
        <v>20260124</v>
      </c>
      <c r="Z5" t="str">
        <f t="shared" si="6"/>
        <v>20260125</v>
      </c>
      <c r="AA5" t="str">
        <f t="shared" si="6"/>
        <v>20260126</v>
      </c>
      <c r="AB5" t="str">
        <f t="shared" si="6"/>
        <v>20260127</v>
      </c>
      <c r="AC5" t="str">
        <f t="shared" si="6"/>
        <v>20260128</v>
      </c>
      <c r="AD5" t="str">
        <f t="shared" si="6"/>
        <v>20260129</v>
      </c>
      <c r="AE5" t="str">
        <f t="shared" si="6"/>
        <v>20260130</v>
      </c>
      <c r="AF5" t="str">
        <f t="shared" si="6"/>
        <v>20260131</v>
      </c>
      <c r="AG5" t="str">
        <f t="shared" si="6"/>
        <v>20260201</v>
      </c>
      <c r="AH5" t="str">
        <f t="shared" si="6"/>
        <v>20260202</v>
      </c>
      <c r="AI5" t="str">
        <f t="shared" si="6"/>
        <v>20260203</v>
      </c>
      <c r="AJ5" t="str">
        <f t="shared" si="6"/>
        <v>20260204</v>
      </c>
      <c r="AK5" t="str">
        <f t="shared" si="6"/>
        <v>20260205</v>
      </c>
      <c r="AL5" t="str">
        <f t="shared" si="6"/>
        <v>20260206</v>
      </c>
      <c r="AM5" t="str">
        <f t="shared" si="6"/>
        <v>20260207</v>
      </c>
      <c r="AN5" t="str">
        <f t="shared" si="6"/>
        <v>20260208</v>
      </c>
      <c r="AO5" t="str">
        <f t="shared" si="6"/>
        <v>20260209</v>
      </c>
      <c r="AP5" t="str">
        <f t="shared" si="6"/>
        <v>20260210</v>
      </c>
      <c r="AQ5" t="str">
        <f t="shared" si="6"/>
        <v>20260211</v>
      </c>
      <c r="AR5" t="str">
        <f t="shared" si="6"/>
        <v>20260212</v>
      </c>
      <c r="AS5" t="str">
        <f t="shared" si="6"/>
        <v>20260213</v>
      </c>
      <c r="AT5" t="str">
        <f t="shared" si="6"/>
        <v>20260214</v>
      </c>
      <c r="AU5" t="str">
        <f t="shared" si="6"/>
        <v>20260215</v>
      </c>
      <c r="AV5" t="str">
        <f t="shared" si="6"/>
        <v>20260216</v>
      </c>
      <c r="AW5" t="str">
        <f t="shared" si="6"/>
        <v>20260217</v>
      </c>
      <c r="AX5" t="str">
        <f t="shared" si="6"/>
        <v>20260218</v>
      </c>
      <c r="AY5" t="str">
        <f t="shared" si="6"/>
        <v>20260219</v>
      </c>
      <c r="AZ5" t="str">
        <f t="shared" si="6"/>
        <v>20260220</v>
      </c>
      <c r="BA5" t="str">
        <f t="shared" si="6"/>
        <v>20260221</v>
      </c>
      <c r="BB5" t="str">
        <f t="shared" si="6"/>
        <v>20260222</v>
      </c>
      <c r="BC5" t="str">
        <f t="shared" si="6"/>
        <v>20260223</v>
      </c>
      <c r="BD5" t="str">
        <f t="shared" si="6"/>
        <v>20260224</v>
      </c>
      <c r="BE5" t="str">
        <f t="shared" si="6"/>
        <v>20260225</v>
      </c>
      <c r="BF5" t="str">
        <f t="shared" si="6"/>
        <v>20260226</v>
      </c>
      <c r="BG5" t="str">
        <f t="shared" si="6"/>
        <v>20260227</v>
      </c>
      <c r="BH5" t="str">
        <f>"2026"&amp;RIGHT(BH3,4)</f>
        <v>20260228</v>
      </c>
      <c r="BI5" t="str">
        <f>"2026"&amp;RIGHT(BI3,4)</f>
        <v>20260301</v>
      </c>
      <c r="BJ5" t="str">
        <f>"2026"&amp;RIGHT(BJ3,4)</f>
        <v>20260302</v>
      </c>
      <c r="BK5" t="str">
        <f>"2026"&amp;RIGHT(BK3,4)</f>
        <v>20260303</v>
      </c>
      <c r="BL5" t="str">
        <f t="shared" si="6"/>
        <v>20260304</v>
      </c>
      <c r="BM5" t="str">
        <f t="shared" si="6"/>
        <v>20260305</v>
      </c>
      <c r="BN5" t="str">
        <f t="shared" si="6"/>
        <v>20260306</v>
      </c>
      <c r="BO5" t="str">
        <f t="shared" ref="BO5:DZ5" si="7">"2026"&amp;RIGHT(BO3,4)</f>
        <v>20260307</v>
      </c>
      <c r="BP5" t="str">
        <f t="shared" si="7"/>
        <v>20260308</v>
      </c>
      <c r="BQ5" t="str">
        <f t="shared" si="7"/>
        <v>20260309</v>
      </c>
      <c r="BR5" t="str">
        <f t="shared" si="7"/>
        <v>20260310</v>
      </c>
      <c r="BS5" t="str">
        <f t="shared" si="7"/>
        <v>20260311</v>
      </c>
      <c r="BT5" t="str">
        <f t="shared" si="7"/>
        <v>20260312</v>
      </c>
      <c r="BU5" t="str">
        <f t="shared" si="7"/>
        <v>20260313</v>
      </c>
      <c r="BV5" t="str">
        <f t="shared" si="7"/>
        <v>20260314</v>
      </c>
      <c r="BW5" t="str">
        <f t="shared" si="7"/>
        <v>20260315</v>
      </c>
      <c r="BX5" t="str">
        <f t="shared" si="7"/>
        <v>20260316</v>
      </c>
      <c r="BY5" t="str">
        <f t="shared" si="7"/>
        <v>20260317</v>
      </c>
      <c r="BZ5" t="str">
        <f t="shared" si="7"/>
        <v>20260318</v>
      </c>
      <c r="CA5" t="str">
        <f t="shared" si="7"/>
        <v>20260319</v>
      </c>
      <c r="CB5" t="str">
        <f t="shared" si="7"/>
        <v>20260320</v>
      </c>
      <c r="CC5" t="str">
        <f t="shared" si="7"/>
        <v>20260321</v>
      </c>
      <c r="CD5" t="str">
        <f t="shared" si="7"/>
        <v>20260322</v>
      </c>
      <c r="CE5" t="str">
        <f t="shared" si="7"/>
        <v>20260323</v>
      </c>
      <c r="CF5" t="str">
        <f t="shared" si="7"/>
        <v>20260324</v>
      </c>
      <c r="CG5" t="str">
        <f t="shared" si="7"/>
        <v>20260325</v>
      </c>
      <c r="CH5" t="str">
        <f t="shared" si="7"/>
        <v>20260326</v>
      </c>
      <c r="CI5" t="str">
        <f t="shared" si="7"/>
        <v>20260327</v>
      </c>
      <c r="CJ5" t="str">
        <f t="shared" si="7"/>
        <v>20260328</v>
      </c>
      <c r="CK5" t="str">
        <f t="shared" si="7"/>
        <v>20260329</v>
      </c>
      <c r="CL5" t="str">
        <f t="shared" si="7"/>
        <v>20260330</v>
      </c>
      <c r="CM5" t="str">
        <f t="shared" si="7"/>
        <v>20260331</v>
      </c>
      <c r="CN5" t="str">
        <f t="shared" si="7"/>
        <v>20260401</v>
      </c>
      <c r="CO5" t="str">
        <f t="shared" si="7"/>
        <v>20260402</v>
      </c>
      <c r="CP5" t="str">
        <f t="shared" si="7"/>
        <v>20260403</v>
      </c>
      <c r="CQ5" t="str">
        <f t="shared" si="7"/>
        <v>20260404</v>
      </c>
      <c r="CR5" t="str">
        <f t="shared" si="7"/>
        <v>20260405</v>
      </c>
      <c r="CS5" t="str">
        <f t="shared" si="7"/>
        <v>20260406</v>
      </c>
      <c r="CT5" t="str">
        <f t="shared" si="7"/>
        <v>20260407</v>
      </c>
      <c r="CU5" t="str">
        <f t="shared" si="7"/>
        <v>20260408</v>
      </c>
      <c r="CV5" t="str">
        <f t="shared" si="7"/>
        <v>20260409</v>
      </c>
      <c r="CW5" t="str">
        <f t="shared" si="7"/>
        <v>20260410</v>
      </c>
      <c r="CX5" t="str">
        <f t="shared" si="7"/>
        <v>20260411</v>
      </c>
      <c r="CY5" t="str">
        <f t="shared" si="7"/>
        <v>20260412</v>
      </c>
      <c r="CZ5" t="str">
        <f t="shared" si="7"/>
        <v>20260413</v>
      </c>
      <c r="DA5" t="str">
        <f t="shared" si="7"/>
        <v>20260414</v>
      </c>
      <c r="DB5" t="str">
        <f t="shared" si="7"/>
        <v>20260415</v>
      </c>
      <c r="DC5" t="str">
        <f t="shared" si="7"/>
        <v>20260416</v>
      </c>
      <c r="DD5" t="str">
        <f t="shared" si="7"/>
        <v>20260417</v>
      </c>
      <c r="DE5" t="str">
        <f t="shared" si="7"/>
        <v>20260418</v>
      </c>
      <c r="DF5" t="str">
        <f t="shared" si="7"/>
        <v>20260419</v>
      </c>
      <c r="DG5" t="str">
        <f t="shared" si="7"/>
        <v>20260420</v>
      </c>
      <c r="DH5" t="str">
        <f t="shared" si="7"/>
        <v>20260421</v>
      </c>
      <c r="DI5" t="str">
        <f t="shared" si="7"/>
        <v>20260422</v>
      </c>
      <c r="DJ5" t="str">
        <f t="shared" si="7"/>
        <v>20260423</v>
      </c>
      <c r="DK5" t="str">
        <f t="shared" si="7"/>
        <v>20260424</v>
      </c>
      <c r="DL5" t="str">
        <f t="shared" si="7"/>
        <v>20260425</v>
      </c>
      <c r="DM5" t="str">
        <f t="shared" si="7"/>
        <v>20260426</v>
      </c>
      <c r="DN5" t="str">
        <f t="shared" si="7"/>
        <v>20260427</v>
      </c>
      <c r="DO5" t="str">
        <f t="shared" si="7"/>
        <v>20260428</v>
      </c>
      <c r="DP5" t="str">
        <f t="shared" si="7"/>
        <v>20260429</v>
      </c>
      <c r="DQ5" t="str">
        <f t="shared" si="7"/>
        <v>20260430</v>
      </c>
      <c r="DR5" t="str">
        <f t="shared" si="7"/>
        <v>20260501</v>
      </c>
      <c r="DS5" t="str">
        <f t="shared" si="7"/>
        <v>20260502</v>
      </c>
      <c r="DT5" t="str">
        <f t="shared" si="7"/>
        <v>20260503</v>
      </c>
      <c r="DU5" t="str">
        <f t="shared" si="7"/>
        <v>20260504</v>
      </c>
      <c r="DV5" t="str">
        <f t="shared" si="7"/>
        <v>20260505</v>
      </c>
      <c r="DW5" t="str">
        <f t="shared" si="7"/>
        <v>20260506</v>
      </c>
      <c r="DX5" t="str">
        <f t="shared" si="7"/>
        <v>20260507</v>
      </c>
      <c r="DY5" t="str">
        <f t="shared" si="7"/>
        <v>20260508</v>
      </c>
      <c r="DZ5" t="str">
        <f t="shared" si="7"/>
        <v>20260509</v>
      </c>
      <c r="EA5" t="str">
        <f t="shared" ref="EA5:GL5" si="8">"2026"&amp;RIGHT(EA3,4)</f>
        <v>20260510</v>
      </c>
      <c r="EB5" t="str">
        <f t="shared" si="8"/>
        <v>20260511</v>
      </c>
      <c r="EC5" t="str">
        <f t="shared" si="8"/>
        <v>20260512</v>
      </c>
      <c r="ED5" t="str">
        <f t="shared" si="8"/>
        <v>20260513</v>
      </c>
      <c r="EE5" t="str">
        <f t="shared" si="8"/>
        <v>20260514</v>
      </c>
      <c r="EF5" t="str">
        <f t="shared" si="8"/>
        <v>20260515</v>
      </c>
      <c r="EG5" t="str">
        <f t="shared" si="8"/>
        <v>20260516</v>
      </c>
      <c r="EH5" t="str">
        <f t="shared" si="8"/>
        <v>20260517</v>
      </c>
      <c r="EI5" t="str">
        <f t="shared" si="8"/>
        <v>20260518</v>
      </c>
      <c r="EJ5" t="str">
        <f t="shared" si="8"/>
        <v>20260519</v>
      </c>
      <c r="EK5" t="str">
        <f t="shared" si="8"/>
        <v>20260520</v>
      </c>
      <c r="EL5" t="str">
        <f t="shared" si="8"/>
        <v>20260521</v>
      </c>
      <c r="EM5" t="str">
        <f t="shared" si="8"/>
        <v>20260522</v>
      </c>
      <c r="EN5" t="str">
        <f t="shared" si="8"/>
        <v>20260523</v>
      </c>
      <c r="EO5" t="str">
        <f t="shared" si="8"/>
        <v>20260524</v>
      </c>
      <c r="EP5" t="str">
        <f t="shared" si="8"/>
        <v>20260525</v>
      </c>
      <c r="EQ5" t="str">
        <f t="shared" si="8"/>
        <v>20260526</v>
      </c>
      <c r="ER5" t="str">
        <f t="shared" si="8"/>
        <v>20260527</v>
      </c>
      <c r="ES5" t="str">
        <f t="shared" si="8"/>
        <v>20260528</v>
      </c>
      <c r="ET5" t="str">
        <f t="shared" si="8"/>
        <v>20260529</v>
      </c>
      <c r="EU5" t="str">
        <f t="shared" si="8"/>
        <v>20260530</v>
      </c>
      <c r="EV5" t="str">
        <f t="shared" si="8"/>
        <v>20260531</v>
      </c>
      <c r="EW5" t="str">
        <f t="shared" si="8"/>
        <v>20260601</v>
      </c>
      <c r="EX5" t="str">
        <f t="shared" si="8"/>
        <v>20260602</v>
      </c>
      <c r="EY5" t="str">
        <f t="shared" si="8"/>
        <v>20260603</v>
      </c>
      <c r="EZ5" t="str">
        <f t="shared" si="8"/>
        <v>20260604</v>
      </c>
      <c r="FA5" t="str">
        <f t="shared" si="8"/>
        <v>20260605</v>
      </c>
      <c r="FB5" t="str">
        <f t="shared" si="8"/>
        <v>20260606</v>
      </c>
      <c r="FC5" t="str">
        <f t="shared" si="8"/>
        <v>20260607</v>
      </c>
      <c r="FD5" t="str">
        <f t="shared" si="8"/>
        <v>20260608</v>
      </c>
      <c r="FE5" t="str">
        <f t="shared" si="8"/>
        <v>20260609</v>
      </c>
      <c r="FF5" t="str">
        <f t="shared" si="8"/>
        <v>20260610</v>
      </c>
      <c r="FG5" t="str">
        <f t="shared" si="8"/>
        <v>20260611</v>
      </c>
      <c r="FH5" t="str">
        <f t="shared" si="8"/>
        <v>20260612</v>
      </c>
      <c r="FI5" t="str">
        <f t="shared" si="8"/>
        <v>20260613</v>
      </c>
      <c r="FJ5" t="str">
        <f t="shared" si="8"/>
        <v>20260614</v>
      </c>
      <c r="FK5" t="str">
        <f t="shared" si="8"/>
        <v>20260615</v>
      </c>
      <c r="FL5" t="str">
        <f t="shared" si="8"/>
        <v>20260616</v>
      </c>
      <c r="FM5" t="str">
        <f t="shared" si="8"/>
        <v>20260617</v>
      </c>
      <c r="FN5" t="str">
        <f t="shared" si="8"/>
        <v>20260618</v>
      </c>
      <c r="FO5" t="str">
        <f t="shared" si="8"/>
        <v>20260619</v>
      </c>
      <c r="FP5" t="str">
        <f t="shared" si="8"/>
        <v>20260620</v>
      </c>
      <c r="FQ5" t="str">
        <f t="shared" si="8"/>
        <v>20260621</v>
      </c>
      <c r="FR5" t="str">
        <f t="shared" si="8"/>
        <v>20260622</v>
      </c>
      <c r="FS5" t="str">
        <f t="shared" si="8"/>
        <v>20260623</v>
      </c>
      <c r="FT5" t="str">
        <f t="shared" si="8"/>
        <v>20260624</v>
      </c>
      <c r="FU5" t="str">
        <f t="shared" si="8"/>
        <v>20260625</v>
      </c>
      <c r="FV5" t="str">
        <f t="shared" si="8"/>
        <v>20260626</v>
      </c>
      <c r="FW5" t="str">
        <f t="shared" si="8"/>
        <v>20260627</v>
      </c>
      <c r="FX5" t="str">
        <f t="shared" si="8"/>
        <v>20260628</v>
      </c>
      <c r="FY5" t="str">
        <f t="shared" si="8"/>
        <v>20260629</v>
      </c>
      <c r="FZ5" t="str">
        <f t="shared" si="8"/>
        <v>20260630</v>
      </c>
      <c r="GA5" t="str">
        <f t="shared" si="8"/>
        <v>20260701</v>
      </c>
      <c r="GB5" t="str">
        <f t="shared" si="8"/>
        <v>20260702</v>
      </c>
      <c r="GC5" t="str">
        <f t="shared" si="8"/>
        <v>20260703</v>
      </c>
      <c r="GD5" t="str">
        <f t="shared" si="8"/>
        <v>20260704</v>
      </c>
      <c r="GE5" t="str">
        <f t="shared" si="8"/>
        <v>20260705</v>
      </c>
      <c r="GF5" t="str">
        <f t="shared" si="8"/>
        <v>20260706</v>
      </c>
      <c r="GG5" t="str">
        <f t="shared" si="8"/>
        <v>20260707</v>
      </c>
      <c r="GH5" t="str">
        <f t="shared" si="8"/>
        <v>20260708</v>
      </c>
      <c r="GI5" t="str">
        <f t="shared" si="8"/>
        <v>20260709</v>
      </c>
      <c r="GJ5" t="str">
        <f t="shared" si="8"/>
        <v>20260710</v>
      </c>
      <c r="GK5" t="str">
        <f t="shared" si="8"/>
        <v>20260711</v>
      </c>
      <c r="GL5" t="str">
        <f t="shared" si="8"/>
        <v>20260712</v>
      </c>
      <c r="GM5" t="str">
        <f t="shared" ref="GM5:IX5" si="9">"2026"&amp;RIGHT(GM3,4)</f>
        <v>20260713</v>
      </c>
      <c r="GN5" t="str">
        <f t="shared" si="9"/>
        <v>20260714</v>
      </c>
      <c r="GO5" t="str">
        <f t="shared" si="9"/>
        <v>20260715</v>
      </c>
      <c r="GP5" t="str">
        <f t="shared" si="9"/>
        <v>20260716</v>
      </c>
      <c r="GQ5" t="str">
        <f t="shared" si="9"/>
        <v>20260717</v>
      </c>
      <c r="GR5" t="str">
        <f t="shared" si="9"/>
        <v>20260718</v>
      </c>
      <c r="GS5" t="str">
        <f t="shared" si="9"/>
        <v>20260719</v>
      </c>
      <c r="GT5" t="str">
        <f t="shared" si="9"/>
        <v>20260720</v>
      </c>
      <c r="GU5" t="str">
        <f t="shared" si="9"/>
        <v>20260721</v>
      </c>
      <c r="GV5" t="str">
        <f t="shared" si="9"/>
        <v>20260722</v>
      </c>
      <c r="GW5" t="str">
        <f t="shared" si="9"/>
        <v>20260723</v>
      </c>
      <c r="GX5" t="str">
        <f t="shared" si="9"/>
        <v>20260724</v>
      </c>
      <c r="GY5" t="str">
        <f t="shared" si="9"/>
        <v>20260725</v>
      </c>
      <c r="GZ5" t="str">
        <f t="shared" si="9"/>
        <v>20260726</v>
      </c>
      <c r="HA5" t="str">
        <f t="shared" si="9"/>
        <v>20260727</v>
      </c>
      <c r="HB5" t="str">
        <f t="shared" si="9"/>
        <v>20260728</v>
      </c>
      <c r="HC5" t="str">
        <f t="shared" si="9"/>
        <v>20260729</v>
      </c>
      <c r="HD5" t="str">
        <f t="shared" si="9"/>
        <v>20260730</v>
      </c>
      <c r="HE5" t="str">
        <f t="shared" si="9"/>
        <v>20260731</v>
      </c>
      <c r="HF5" t="str">
        <f t="shared" si="9"/>
        <v>20260801</v>
      </c>
      <c r="HG5" t="str">
        <f t="shared" si="9"/>
        <v>20260802</v>
      </c>
      <c r="HH5" t="str">
        <f t="shared" si="9"/>
        <v>20260803</v>
      </c>
      <c r="HI5" t="str">
        <f t="shared" si="9"/>
        <v>20260804</v>
      </c>
      <c r="HJ5" t="str">
        <f t="shared" si="9"/>
        <v>20260805</v>
      </c>
      <c r="HK5" t="str">
        <f t="shared" si="9"/>
        <v>20260806</v>
      </c>
      <c r="HL5" t="str">
        <f t="shared" si="9"/>
        <v>20260807</v>
      </c>
      <c r="HM5" t="str">
        <f t="shared" si="9"/>
        <v>20260808</v>
      </c>
      <c r="HN5" t="str">
        <f t="shared" si="9"/>
        <v>20260809</v>
      </c>
      <c r="HO5" t="str">
        <f t="shared" si="9"/>
        <v>20260810</v>
      </c>
      <c r="HP5" t="str">
        <f t="shared" si="9"/>
        <v>20260811</v>
      </c>
      <c r="HQ5" t="str">
        <f t="shared" si="9"/>
        <v>20260812</v>
      </c>
      <c r="HR5" t="str">
        <f t="shared" si="9"/>
        <v>20260813</v>
      </c>
      <c r="HS5" t="str">
        <f t="shared" si="9"/>
        <v>20260814</v>
      </c>
      <c r="HT5" t="str">
        <f t="shared" si="9"/>
        <v>20260815</v>
      </c>
      <c r="HU5" t="str">
        <f t="shared" si="9"/>
        <v>20260816</v>
      </c>
      <c r="HV5" t="str">
        <f t="shared" si="9"/>
        <v>20260817</v>
      </c>
      <c r="HW5" t="str">
        <f t="shared" si="9"/>
        <v>20260818</v>
      </c>
      <c r="HX5" t="str">
        <f t="shared" si="9"/>
        <v>20260819</v>
      </c>
      <c r="HY5" t="str">
        <f t="shared" si="9"/>
        <v>20260820</v>
      </c>
      <c r="HZ5" t="str">
        <f t="shared" si="9"/>
        <v>20260821</v>
      </c>
      <c r="IA5" t="str">
        <f t="shared" si="9"/>
        <v>20260822</v>
      </c>
      <c r="IB5" t="str">
        <f t="shared" si="9"/>
        <v>20260823</v>
      </c>
      <c r="IC5" t="str">
        <f t="shared" si="9"/>
        <v>20260824</v>
      </c>
      <c r="ID5" t="str">
        <f t="shared" si="9"/>
        <v>20260825</v>
      </c>
      <c r="IE5" t="str">
        <f t="shared" si="9"/>
        <v>20260826</v>
      </c>
      <c r="IF5" t="str">
        <f t="shared" si="9"/>
        <v>20260827</v>
      </c>
      <c r="IG5" t="str">
        <f t="shared" si="9"/>
        <v>20260828</v>
      </c>
      <c r="IH5" t="str">
        <f t="shared" si="9"/>
        <v>20260829</v>
      </c>
      <c r="II5" t="str">
        <f t="shared" si="9"/>
        <v>20260830</v>
      </c>
      <c r="IJ5" t="str">
        <f t="shared" si="9"/>
        <v>20260831</v>
      </c>
      <c r="IK5" t="str">
        <f t="shared" si="9"/>
        <v>20260901</v>
      </c>
      <c r="IL5" t="str">
        <f t="shared" si="9"/>
        <v>20260902</v>
      </c>
      <c r="IM5" t="str">
        <f t="shared" si="9"/>
        <v>20260903</v>
      </c>
      <c r="IN5" t="str">
        <f t="shared" si="9"/>
        <v>20260904</v>
      </c>
      <c r="IO5" t="str">
        <f t="shared" si="9"/>
        <v>20260905</v>
      </c>
      <c r="IP5" t="str">
        <f t="shared" si="9"/>
        <v>20260906</v>
      </c>
      <c r="IQ5" t="str">
        <f t="shared" si="9"/>
        <v>20260907</v>
      </c>
      <c r="IR5" t="str">
        <f t="shared" si="9"/>
        <v>20260908</v>
      </c>
      <c r="IS5" t="str">
        <f t="shared" si="9"/>
        <v>20260909</v>
      </c>
      <c r="IT5" t="str">
        <f t="shared" si="9"/>
        <v>20260910</v>
      </c>
      <c r="IU5" t="str">
        <f t="shared" si="9"/>
        <v>20260911</v>
      </c>
      <c r="IV5" t="str">
        <f t="shared" si="9"/>
        <v>20260912</v>
      </c>
      <c r="IW5" t="str">
        <f t="shared" si="9"/>
        <v>20260913</v>
      </c>
      <c r="IX5" t="str">
        <f t="shared" si="9"/>
        <v>20260914</v>
      </c>
      <c r="IY5" t="str">
        <f t="shared" ref="IY5:LJ5" si="10">"2026"&amp;RIGHT(IY3,4)</f>
        <v>20260915</v>
      </c>
      <c r="IZ5" t="str">
        <f t="shared" si="10"/>
        <v>20260916</v>
      </c>
      <c r="JA5" t="str">
        <f t="shared" si="10"/>
        <v>20260917</v>
      </c>
      <c r="JB5" t="str">
        <f t="shared" si="10"/>
        <v>20260918</v>
      </c>
      <c r="JC5" t="str">
        <f t="shared" si="10"/>
        <v>20260919</v>
      </c>
      <c r="JD5" t="str">
        <f t="shared" si="10"/>
        <v>20260920</v>
      </c>
      <c r="JE5" t="str">
        <f t="shared" si="10"/>
        <v>20260921</v>
      </c>
      <c r="JF5" t="str">
        <f t="shared" si="10"/>
        <v>20260922</v>
      </c>
      <c r="JG5" t="str">
        <f t="shared" si="10"/>
        <v>20260923</v>
      </c>
      <c r="JH5" t="str">
        <f t="shared" si="10"/>
        <v>20260924</v>
      </c>
      <c r="JI5" t="str">
        <f t="shared" si="10"/>
        <v>20260925</v>
      </c>
      <c r="JJ5" t="str">
        <f t="shared" si="10"/>
        <v>20260926</v>
      </c>
      <c r="JK5" t="str">
        <f t="shared" si="10"/>
        <v>20260927</v>
      </c>
      <c r="JL5" t="str">
        <f t="shared" si="10"/>
        <v>20260928</v>
      </c>
      <c r="JM5" t="str">
        <f t="shared" si="10"/>
        <v>20260929</v>
      </c>
      <c r="JN5" t="str">
        <f t="shared" si="10"/>
        <v>20260930</v>
      </c>
      <c r="JO5" t="str">
        <f t="shared" si="10"/>
        <v>20261001</v>
      </c>
      <c r="JP5" t="str">
        <f t="shared" si="10"/>
        <v>20261002</v>
      </c>
      <c r="JQ5" t="str">
        <f t="shared" si="10"/>
        <v>20261003</v>
      </c>
      <c r="JR5" t="str">
        <f t="shared" si="10"/>
        <v>20261004</v>
      </c>
      <c r="JS5" t="str">
        <f t="shared" si="10"/>
        <v>20261005</v>
      </c>
      <c r="JT5" t="str">
        <f t="shared" si="10"/>
        <v>20261006</v>
      </c>
      <c r="JU5" t="str">
        <f t="shared" si="10"/>
        <v>20261007</v>
      </c>
      <c r="JV5" t="str">
        <f t="shared" si="10"/>
        <v>20261008</v>
      </c>
      <c r="JW5" t="str">
        <f t="shared" si="10"/>
        <v>20261009</v>
      </c>
      <c r="JX5" t="str">
        <f t="shared" si="10"/>
        <v>20261010</v>
      </c>
      <c r="JY5" t="str">
        <f t="shared" si="10"/>
        <v>20261011</v>
      </c>
      <c r="JZ5" t="str">
        <f t="shared" si="10"/>
        <v>20261012</v>
      </c>
      <c r="KA5" t="str">
        <f t="shared" si="10"/>
        <v>20261013</v>
      </c>
      <c r="KB5" t="str">
        <f t="shared" si="10"/>
        <v>20261014</v>
      </c>
      <c r="KC5" t="str">
        <f t="shared" si="10"/>
        <v>20261015</v>
      </c>
      <c r="KD5" t="str">
        <f t="shared" si="10"/>
        <v>20261016</v>
      </c>
      <c r="KE5" t="str">
        <f t="shared" si="10"/>
        <v>20261017</v>
      </c>
      <c r="KF5" t="str">
        <f t="shared" si="10"/>
        <v>20261018</v>
      </c>
      <c r="KG5" t="str">
        <f t="shared" si="10"/>
        <v>20261019</v>
      </c>
      <c r="KH5" t="str">
        <f t="shared" si="10"/>
        <v>20261020</v>
      </c>
      <c r="KI5" t="str">
        <f t="shared" si="10"/>
        <v>20261021</v>
      </c>
      <c r="KJ5" t="str">
        <f t="shared" si="10"/>
        <v>20261022</v>
      </c>
      <c r="KK5" t="str">
        <f t="shared" si="10"/>
        <v>20261023</v>
      </c>
      <c r="KL5" t="str">
        <f t="shared" si="10"/>
        <v>20261024</v>
      </c>
      <c r="KM5" t="str">
        <f t="shared" si="10"/>
        <v>20261025</v>
      </c>
      <c r="KN5" t="str">
        <f t="shared" si="10"/>
        <v>20261026</v>
      </c>
      <c r="KO5" t="str">
        <f t="shared" si="10"/>
        <v>20261027</v>
      </c>
      <c r="KP5" t="str">
        <f t="shared" si="10"/>
        <v>20261028</v>
      </c>
      <c r="KQ5" t="str">
        <f t="shared" si="10"/>
        <v>20261029</v>
      </c>
      <c r="KR5" t="str">
        <f t="shared" si="10"/>
        <v>20261030</v>
      </c>
      <c r="KS5" t="str">
        <f t="shared" si="10"/>
        <v>20261031</v>
      </c>
      <c r="KT5" t="str">
        <f t="shared" si="10"/>
        <v>20261101</v>
      </c>
      <c r="KU5" t="str">
        <f t="shared" si="10"/>
        <v>20261102</v>
      </c>
      <c r="KV5" t="str">
        <f t="shared" si="10"/>
        <v>20261103</v>
      </c>
      <c r="KW5" t="str">
        <f t="shared" si="10"/>
        <v>20261104</v>
      </c>
      <c r="KX5" t="str">
        <f t="shared" si="10"/>
        <v>20261105</v>
      </c>
      <c r="KY5" t="str">
        <f t="shared" si="10"/>
        <v>20261106</v>
      </c>
      <c r="KZ5" t="str">
        <f t="shared" si="10"/>
        <v>20261107</v>
      </c>
      <c r="LA5" t="str">
        <f t="shared" si="10"/>
        <v>20261108</v>
      </c>
      <c r="LB5" t="str">
        <f t="shared" si="10"/>
        <v>20261109</v>
      </c>
      <c r="LC5" t="str">
        <f t="shared" si="10"/>
        <v>20261110</v>
      </c>
      <c r="LD5" t="str">
        <f t="shared" si="10"/>
        <v>20261111</v>
      </c>
      <c r="LE5" t="str">
        <f t="shared" si="10"/>
        <v>20261112</v>
      </c>
      <c r="LF5" t="str">
        <f t="shared" si="10"/>
        <v>20261113</v>
      </c>
      <c r="LG5" t="str">
        <f t="shared" si="10"/>
        <v>20261114</v>
      </c>
      <c r="LH5" t="str">
        <f t="shared" si="10"/>
        <v>20261115</v>
      </c>
      <c r="LI5" t="str">
        <f t="shared" si="10"/>
        <v>20261116</v>
      </c>
      <c r="LJ5" t="str">
        <f t="shared" si="10"/>
        <v>20261117</v>
      </c>
      <c r="LK5" t="str">
        <f t="shared" ref="LK5:NB5" si="11">"2026"&amp;RIGHT(LK3,4)</f>
        <v>20261118</v>
      </c>
      <c r="LL5" t="str">
        <f t="shared" si="11"/>
        <v>20261119</v>
      </c>
      <c r="LM5" t="str">
        <f t="shared" si="11"/>
        <v>20261120</v>
      </c>
      <c r="LN5" t="str">
        <f t="shared" si="11"/>
        <v>20261121</v>
      </c>
      <c r="LO5" t="str">
        <f t="shared" si="11"/>
        <v>20261122</v>
      </c>
      <c r="LP5" t="str">
        <f t="shared" si="11"/>
        <v>20261123</v>
      </c>
      <c r="LQ5" t="str">
        <f t="shared" si="11"/>
        <v>20261124</v>
      </c>
      <c r="LR5" t="str">
        <f t="shared" si="11"/>
        <v>20261125</v>
      </c>
      <c r="LS5" t="str">
        <f t="shared" si="11"/>
        <v>20261126</v>
      </c>
      <c r="LT5" t="str">
        <f t="shared" si="11"/>
        <v>20261127</v>
      </c>
      <c r="LU5" t="str">
        <f t="shared" si="11"/>
        <v>20261128</v>
      </c>
      <c r="LV5" t="str">
        <f t="shared" si="11"/>
        <v>20261129</v>
      </c>
      <c r="LW5" t="str">
        <f t="shared" si="11"/>
        <v>20261130</v>
      </c>
      <c r="LX5" t="str">
        <f t="shared" si="11"/>
        <v>20261201</v>
      </c>
      <c r="LY5" t="str">
        <f t="shared" si="11"/>
        <v>20261202</v>
      </c>
      <c r="LZ5" t="str">
        <f t="shared" si="11"/>
        <v>20261203</v>
      </c>
      <c r="MA5" t="str">
        <f t="shared" si="11"/>
        <v>20261204</v>
      </c>
      <c r="MB5" t="str">
        <f t="shared" si="11"/>
        <v>20261205</v>
      </c>
      <c r="MC5" t="str">
        <f t="shared" si="11"/>
        <v>20261206</v>
      </c>
      <c r="MD5" t="str">
        <f t="shared" si="11"/>
        <v>20261207</v>
      </c>
      <c r="ME5" t="str">
        <f t="shared" si="11"/>
        <v>20261208</v>
      </c>
      <c r="MF5" t="str">
        <f t="shared" si="11"/>
        <v>20261209</v>
      </c>
      <c r="MG5" t="str">
        <f t="shared" si="11"/>
        <v>20261210</v>
      </c>
      <c r="MH5" t="str">
        <f t="shared" si="11"/>
        <v>20261211</v>
      </c>
      <c r="MI5" t="str">
        <f t="shared" si="11"/>
        <v>20261212</v>
      </c>
      <c r="MJ5" t="str">
        <f t="shared" si="11"/>
        <v>20261213</v>
      </c>
      <c r="MK5" t="str">
        <f t="shared" si="11"/>
        <v>20261214</v>
      </c>
      <c r="ML5" t="str">
        <f t="shared" si="11"/>
        <v>20261215</v>
      </c>
      <c r="MM5" t="str">
        <f t="shared" si="11"/>
        <v>20261216</v>
      </c>
      <c r="MN5" t="str">
        <f t="shared" si="11"/>
        <v>20261217</v>
      </c>
      <c r="MO5" t="str">
        <f t="shared" si="11"/>
        <v>20261218</v>
      </c>
      <c r="MP5" t="str">
        <f t="shared" si="11"/>
        <v>20261219</v>
      </c>
      <c r="MQ5" t="str">
        <f t="shared" si="11"/>
        <v>20261220</v>
      </c>
      <c r="MR5" t="str">
        <f t="shared" si="11"/>
        <v>20261221</v>
      </c>
      <c r="MS5" t="str">
        <f t="shared" si="11"/>
        <v>20261222</v>
      </c>
      <c r="MT5" t="str">
        <f t="shared" si="11"/>
        <v>20261223</v>
      </c>
      <c r="MU5" t="str">
        <f t="shared" si="11"/>
        <v>20261224</v>
      </c>
      <c r="MV5" t="str">
        <f t="shared" si="11"/>
        <v>20261225</v>
      </c>
      <c r="MW5" t="str">
        <f t="shared" si="11"/>
        <v>20261226</v>
      </c>
      <c r="MX5" t="str">
        <f t="shared" si="11"/>
        <v>20261227</v>
      </c>
      <c r="MY5" t="str">
        <f t="shared" si="11"/>
        <v>20261228</v>
      </c>
      <c r="MZ5" t="str">
        <f t="shared" si="11"/>
        <v>20261229</v>
      </c>
      <c r="NA5" t="str">
        <f t="shared" si="11"/>
        <v>20261230</v>
      </c>
      <c r="NB5" t="str">
        <f t="shared" si="11"/>
        <v>20261231</v>
      </c>
    </row>
    <row r="6" spans="1:367">
      <c r="A6" t="s">
        <v>155</v>
      </c>
      <c r="B6" s="67">
        <v>647603000</v>
      </c>
      <c r="C6" s="67">
        <v>429341000</v>
      </c>
      <c r="D6" s="67">
        <v>1571383000</v>
      </c>
      <c r="E6" s="67">
        <v>955035000</v>
      </c>
      <c r="F6" s="67">
        <v>898821000</v>
      </c>
      <c r="G6" s="67">
        <v>962245000</v>
      </c>
      <c r="H6" s="67">
        <v>782466000</v>
      </c>
      <c r="I6">
        <v>544068000</v>
      </c>
      <c r="J6" s="67">
        <v>935070000</v>
      </c>
      <c r="K6" s="67">
        <v>599056000</v>
      </c>
      <c r="L6" s="67">
        <v>566282000</v>
      </c>
      <c r="M6" s="67">
        <v>550942000</v>
      </c>
      <c r="N6" s="67">
        <v>719432000</v>
      </c>
      <c r="O6">
        <v>792755000</v>
      </c>
      <c r="P6" s="67">
        <v>323305000</v>
      </c>
      <c r="Q6" s="67">
        <v>424852000</v>
      </c>
      <c r="R6" s="67">
        <v>418078000</v>
      </c>
      <c r="S6" s="67">
        <v>425783000</v>
      </c>
      <c r="T6" s="67">
        <v>310084000</v>
      </c>
      <c r="U6" s="67">
        <v>749493000</v>
      </c>
      <c r="V6" s="67">
        <v>552533000</v>
      </c>
      <c r="W6" s="67">
        <v>450868000</v>
      </c>
      <c r="X6" s="67">
        <v>403778000</v>
      </c>
      <c r="Y6" s="67">
        <v>625062000</v>
      </c>
      <c r="Z6" s="67">
        <v>430552000</v>
      </c>
      <c r="AA6">
        <v>510655000</v>
      </c>
      <c r="AB6" s="67">
        <v>511214000</v>
      </c>
      <c r="AC6" s="67">
        <v>572288000</v>
      </c>
      <c r="AD6" s="67">
        <v>825121000</v>
      </c>
      <c r="AE6" s="67">
        <v>619729000</v>
      </c>
      <c r="AF6" s="67">
        <v>801955000</v>
      </c>
      <c r="AG6" s="67">
        <v>1743258000</v>
      </c>
      <c r="AH6" s="67">
        <v>1243840000</v>
      </c>
      <c r="AI6" s="67">
        <v>787219000</v>
      </c>
      <c r="AJ6" s="67">
        <v>650919000</v>
      </c>
      <c r="AK6" s="67">
        <v>1008063000</v>
      </c>
      <c r="AL6">
        <v>881874000</v>
      </c>
      <c r="AM6">
        <v>755975000</v>
      </c>
      <c r="AN6">
        <v>848533000</v>
      </c>
      <c r="AO6" s="67">
        <v>794739000</v>
      </c>
      <c r="AP6" s="67">
        <v>941427000</v>
      </c>
      <c r="AQ6" s="67">
        <v>506162000</v>
      </c>
      <c r="AR6" s="67">
        <v>440430000</v>
      </c>
      <c r="AS6" s="67">
        <v>505542000</v>
      </c>
      <c r="AT6" s="67">
        <v>436313000</v>
      </c>
      <c r="AU6" s="67">
        <v>470825000</v>
      </c>
      <c r="AV6" s="67">
        <v>506304000</v>
      </c>
      <c r="AW6" s="67">
        <v>301569000</v>
      </c>
      <c r="AX6" s="67">
        <v>393790000</v>
      </c>
      <c r="AY6" s="67">
        <v>331865000</v>
      </c>
      <c r="AZ6" s="67">
        <v>286497000</v>
      </c>
      <c r="BA6" s="67">
        <v>291227000</v>
      </c>
      <c r="BB6" s="67">
        <v>576677000</v>
      </c>
      <c r="BC6" s="67">
        <v>342659000</v>
      </c>
      <c r="BD6" s="67">
        <v>364713000</v>
      </c>
      <c r="BE6">
        <v>516715000</v>
      </c>
      <c r="BF6">
        <v>700839000</v>
      </c>
      <c r="BG6" s="67">
        <v>711087000</v>
      </c>
      <c r="BH6" s="67">
        <v>543273000</v>
      </c>
      <c r="BI6" s="67">
        <v>643765000</v>
      </c>
      <c r="BJ6" s="67">
        <v>750223000</v>
      </c>
      <c r="BK6" s="67">
        <v>651928000</v>
      </c>
      <c r="BL6" s="67">
        <v>2050317000</v>
      </c>
      <c r="BM6" s="67">
        <v>1042099000</v>
      </c>
      <c r="BN6" s="67">
        <v>1048029000</v>
      </c>
      <c r="BO6" s="67">
        <v>759618000</v>
      </c>
      <c r="BP6" s="67">
        <v>414958000</v>
      </c>
      <c r="BQ6" s="67">
        <v>696779000</v>
      </c>
      <c r="BR6" s="67">
        <v>1162894000</v>
      </c>
      <c r="BS6" s="67">
        <v>726010000</v>
      </c>
      <c r="BT6" s="67">
        <v>572080000</v>
      </c>
      <c r="BU6" s="67">
        <v>649780000</v>
      </c>
      <c r="BV6" s="67">
        <v>409884000</v>
      </c>
      <c r="BW6" s="67">
        <v>287261000</v>
      </c>
      <c r="BX6" s="67">
        <v>383080000</v>
      </c>
      <c r="BY6" s="67">
        <v>290294000</v>
      </c>
      <c r="BZ6" s="67">
        <v>745435000</v>
      </c>
      <c r="CA6" s="67">
        <v>664245000</v>
      </c>
      <c r="CB6" s="67">
        <v>482290000</v>
      </c>
      <c r="CC6" s="67">
        <v>470881000</v>
      </c>
      <c r="CD6" s="67">
        <v>354941000</v>
      </c>
      <c r="CE6" s="67">
        <v>1393421000</v>
      </c>
      <c r="CF6" s="67">
        <v>851897000</v>
      </c>
      <c r="CG6" s="67">
        <v>995855000</v>
      </c>
      <c r="CH6" s="67">
        <v>829158000</v>
      </c>
      <c r="CI6" s="67">
        <v>627171000</v>
      </c>
      <c r="CJ6" s="67">
        <v>542544000</v>
      </c>
      <c r="CK6" s="67">
        <v>545266000</v>
      </c>
      <c r="CL6" s="67">
        <v>714384000</v>
      </c>
      <c r="CM6" s="67">
        <v>640430000</v>
      </c>
      <c r="CN6" s="67">
        <v>983352000</v>
      </c>
      <c r="CO6" s="67">
        <v>873568000</v>
      </c>
      <c r="CP6" s="67">
        <v>792365000</v>
      </c>
      <c r="CQ6" s="67">
        <v>2170315000</v>
      </c>
      <c r="CR6" s="67">
        <v>1053548000</v>
      </c>
      <c r="CS6" s="67">
        <v>989826000</v>
      </c>
      <c r="CT6" s="67">
        <v>1292744000</v>
      </c>
      <c r="CU6" s="67">
        <v>953160000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2023-04-17T04:15:08Z</dcterms:created>
  <dcterms:modified xsi:type="dcterms:W3CDTF">2026-04-09T10:27:13Z</dcterms:modified>
  <cp:category/>
  <cp:contentStatus/>
</cp:coreProperties>
</file>